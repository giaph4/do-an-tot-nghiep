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oantotnghiep\khoa_luan_tot_nghiep\docs\"/>
    </mc:Choice>
  </mc:AlternateContent>
  <xr:revisionPtr revIDLastSave="0" documentId="13_ncr:1_{A4919F92-B442-4A5A-92B0-07EB0856BB10}" xr6:coauthVersionLast="47" xr6:coauthVersionMax="47" xr10:uidLastSave="{00000000-0000-0000-0000-000000000000}"/>
  <bookViews>
    <workbookView xWindow="-120" yWindow="-120" windowWidth="28320" windowHeight="16440" xr2:uid="{00000000-000D-0000-FFFF-FFFF00000000}"/>
  </bookViews>
  <sheets>
    <sheet name="Sprint 1" sheetId="1" r:id="rId1"/>
  </sheets>
  <calcPr calcId="181029"/>
</workbook>
</file>

<file path=xl/calcChain.xml><?xml version="1.0" encoding="utf-8"?>
<calcChain xmlns="http://schemas.openxmlformats.org/spreadsheetml/2006/main">
  <c r="AB179" i="1" l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G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G178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E12" i="1"/>
  <c r="D12" i="1"/>
  <c r="E11" i="1"/>
  <c r="D11" i="1"/>
  <c r="E10" i="1"/>
  <c r="D10" i="1"/>
  <c r="E9" i="1"/>
  <c r="D9" i="1"/>
  <c r="E8" i="1"/>
  <c r="D8" i="1"/>
  <c r="D13" i="1" s="1"/>
  <c r="E13" i="1" l="1"/>
</calcChain>
</file>

<file path=xl/sharedStrings.xml><?xml version="1.0" encoding="utf-8"?>
<sst xmlns="http://schemas.openxmlformats.org/spreadsheetml/2006/main" count="368" uniqueCount="120">
  <si>
    <t>Project name:</t>
  </si>
  <si>
    <t xml:space="preserve">XÂY DỰNG HỆ THỐNG HỌC TỪ VỰNG
 TIẾNG ANH ỨNG DỤNG LẶP LẠI NGẮT QUÃNG
VÀ TRÍ TUỆ NHÂN TẠO
</t>
  </si>
  <si>
    <t>Kết thúc đúng hạn</t>
  </si>
  <si>
    <t>Module name:</t>
  </si>
  <si>
    <t>Sprint 1</t>
  </si>
  <si>
    <t>Muộn</t>
  </si>
  <si>
    <t>Start date:</t>
  </si>
  <si>
    <t>28/09/2026</t>
  </si>
  <si>
    <t>Trước thời hạn</t>
  </si>
  <si>
    <t>End date:</t>
  </si>
  <si>
    <t>17/10/2026</t>
  </si>
  <si>
    <t>SPRINT 1 REPORT</t>
  </si>
  <si>
    <t>No</t>
  </si>
  <si>
    <t>Thành viên</t>
  </si>
  <si>
    <t>Thực tế</t>
  </si>
  <si>
    <t>Ước tính</t>
  </si>
  <si>
    <t>Lê Hữu Thảo</t>
  </si>
  <si>
    <t>Phạm Ngọc Thái</t>
  </si>
  <si>
    <t>Huỳnh Gia Pho</t>
  </si>
  <si>
    <t>Trần Văn Màu</t>
  </si>
  <si>
    <t>Nguyễn Đình Nhật Quân</t>
  </si>
  <si>
    <t>Tổng</t>
  </si>
  <si>
    <t>BẢNG THỜI GIAN ƯỚC TÍNH</t>
  </si>
  <si>
    <t>Sprint</t>
  </si>
  <si>
    <t>Compoment</t>
  </si>
  <si>
    <t>Task name</t>
  </si>
  <si>
    <t>Responsible Member</t>
  </si>
  <si>
    <t>Họp kế hoạch Sprint 1</t>
  </si>
  <si>
    <t>All team</t>
  </si>
  <si>
    <t>Tạo Sprint Backlog 1</t>
  </si>
  <si>
    <t>Thảo</t>
  </si>
  <si>
    <t>Tạo tài liệu kiểm thử cho Sprint 1</t>
  </si>
  <si>
    <t>Thái</t>
  </si>
  <si>
    <t>User interface design</t>
  </si>
  <si>
    <t>Giao diện Đăng ký &amp; xác thực email</t>
  </si>
  <si>
    <t>Giao diện Đăng nhập, đăng xuất &amp; phiên</t>
  </si>
  <si>
    <t>Giao diện Quên &amp; đặt lại mật khẩu</t>
  </si>
  <si>
    <t>Giao diện Đăng nhập Google</t>
  </si>
  <si>
    <t>Giao diện Khởi đầu &amp; hồ sơ học tập (onboarding)</t>
  </si>
  <si>
    <t>Giao diện Tải tệp &amp; ảnh đại diện</t>
  </si>
  <si>
    <t>Màu</t>
  </si>
  <si>
    <t>Giao diện Thư viện bộ công khai &amp; sao chép bộ</t>
  </si>
  <si>
    <t>Giao diện Quản lý bộ từ vựng</t>
  </si>
  <si>
    <t>Giao diện Quản lý thẻ từ vựng</t>
  </si>
  <si>
    <t>Giao diện Nhập/xuất CSV</t>
  </si>
  <si>
    <t>Review all user interfaces of sprint 1</t>
  </si>
  <si>
    <t>Design test case</t>
  </si>
  <si>
    <t>Thiết kế trường kiểm thử cho Đăng ký &amp; xác thực email</t>
  </si>
  <si>
    <t>Thiết kế trường kiểm thử cho Đăng nhập, đăng xuất &amp; phiên</t>
  </si>
  <si>
    <t>Thiết kế trường kiểm thử cho Quên &amp; đặt lại mật khẩu</t>
  </si>
  <si>
    <t>Thiết kế trường kiểm thử cho Đăng nhập Google</t>
  </si>
  <si>
    <t>Thiết kế trường kiểm thử cho Khởi đầu &amp; hồ sơ học tập (onboarding)</t>
  </si>
  <si>
    <t>Thiết kế trường kiểm thử cho Tải tệp &amp; ảnh đại diện</t>
  </si>
  <si>
    <t>Thiết kế trường kiểm thử cho Thư viện bộ công khai &amp; sao chép bộ</t>
  </si>
  <si>
    <t>Thiết kế trường kiểm thử cho Quản lý bộ từ vựng</t>
  </si>
  <si>
    <t>Thiết kế trường kiểm thử cho Quản lý thẻ từ vựng</t>
  </si>
  <si>
    <t>Thiết kế trường kiểm thử cho Nhập/xuất CSV</t>
  </si>
  <si>
    <t>Review all test case of sprint 1</t>
  </si>
  <si>
    <t>Coding</t>
  </si>
  <si>
    <t>Code back - end cho Đăng ký &amp; xác thực email</t>
  </si>
  <si>
    <t>Pho</t>
  </si>
  <si>
    <t>Code front - end cho Đăng ký &amp; xác thực email</t>
  </si>
  <si>
    <t>Code back - end cho Đăng nhập, đăng xuất &amp; phiên</t>
  </si>
  <si>
    <t>Code front - end cho Đăng nhập, đăng xuất &amp; phiên</t>
  </si>
  <si>
    <t>Code back - end cho Quên &amp; đặt lại mật khẩu</t>
  </si>
  <si>
    <t>Code front - end cho Quên &amp; đặt lại mật khẩu</t>
  </si>
  <si>
    <t>Code back - end cho Đăng nhập Google</t>
  </si>
  <si>
    <t>Code front - end cho Đăng nhập Google</t>
  </si>
  <si>
    <t>Code back - end cho Khởi đầu &amp; hồ sơ học tập (onboarding)</t>
  </si>
  <si>
    <t>Code front - end cho Khởi đầu &amp; hồ sơ học tập (onboarding)</t>
  </si>
  <si>
    <t>Code back - end cho Tải tệp &amp; ảnh đại diện</t>
  </si>
  <si>
    <t>Code front - end cho Tải tệp &amp; ảnh đại diện</t>
  </si>
  <si>
    <t>Quân</t>
  </si>
  <si>
    <t>Code back - end cho Thư viện bộ công khai &amp; sao chép bộ</t>
  </si>
  <si>
    <t>Code front - end cho Thư viện bộ công khai &amp; sao chép bộ</t>
  </si>
  <si>
    <t>Code back - end cho Quản lý bộ từ vựng</t>
  </si>
  <si>
    <t>Code front - end cho Quản lý bộ từ vựng</t>
  </si>
  <si>
    <t>Code back - end cho Quản lý thẻ từ vựng</t>
  </si>
  <si>
    <t>Code front - end cho Quản lý thẻ từ vựng</t>
  </si>
  <si>
    <t>Code back - end cho Nhập/xuất CSV</t>
  </si>
  <si>
    <t>Code front - end cho Nhập/xuất CSV</t>
  </si>
  <si>
    <t>Integrate Code</t>
  </si>
  <si>
    <t>Testing</t>
  </si>
  <si>
    <t>Kiểm tra Đăng ký &amp; xác thực email</t>
  </si>
  <si>
    <t>Kiểm tra Đăng nhập, đăng xuất &amp; phiên</t>
  </si>
  <si>
    <t>Kiểm tra Quên &amp; đặt lại mật khẩu</t>
  </si>
  <si>
    <t>Kiểm tra Đăng nhập Google</t>
  </si>
  <si>
    <t>Kiểm tra Khởi đầu &amp; hồ sơ học tập (onboarding)</t>
  </si>
  <si>
    <t>Kiểm tra Tải tệp &amp; ảnh đại diện</t>
  </si>
  <si>
    <t>Kiểm tra Thư viện bộ công khai &amp; sao chép bộ</t>
  </si>
  <si>
    <t>Kiểm tra Quản lý bộ từ vựng</t>
  </si>
  <si>
    <t>Kiểm tra Quản lý thẻ từ vựng</t>
  </si>
  <si>
    <t>Kiểm tra Nhập/xuất CSV</t>
  </si>
  <si>
    <t>Fix Bug</t>
  </si>
  <si>
    <t>Sửa lỗi Đăng ký &amp; xác thực email</t>
  </si>
  <si>
    <t>Pho,Thảo</t>
  </si>
  <si>
    <t>Sửa lỗi Đăng nhập, đăng xuất &amp; phiên</t>
  </si>
  <si>
    <t>Sửa lỗi Quên &amp; đặt lại mật khẩu</t>
  </si>
  <si>
    <t>Sửa lỗi Đăng nhập Google</t>
  </si>
  <si>
    <t>Sửa lỗi Khởi đầu &amp; hồ sơ học tập (onboarding)</t>
  </si>
  <si>
    <t>Sửa lỗi Tải tệp &amp; ảnh đại diện</t>
  </si>
  <si>
    <t>Sửa lỗi Thư viện bộ công khai &amp; sao chép bộ</t>
  </si>
  <si>
    <t>Sửa lỗi Quản lý bộ từ vựng</t>
  </si>
  <si>
    <t>Sửa lỗi Quản lý thẻ từ vựng</t>
  </si>
  <si>
    <t>Sửa lỗi Nhập/xuất CSV</t>
  </si>
  <si>
    <t>Re-testing</t>
  </si>
  <si>
    <t>Kiểm tra lại Đăng ký &amp; xác thực email</t>
  </si>
  <si>
    <t>Kiểm tra lại Đăng nhập, đăng xuất &amp; phiên</t>
  </si>
  <si>
    <t>Kiểm tra lại Quên &amp; đặt lại mật khẩu</t>
  </si>
  <si>
    <t>Kiểm tra lại Đăng nhập Google</t>
  </si>
  <si>
    <t>Kiểm tra lại Khởi đầu &amp; hồ sơ học tập (onboarding)</t>
  </si>
  <si>
    <t>Kiểm tra lại Tải tệp &amp; ảnh đại diện</t>
  </si>
  <si>
    <t>Kiểm tra lại Thư viện bộ công khai &amp; sao chép bộ</t>
  </si>
  <si>
    <t>Kiểm tra lại Quản lý bộ từ vựng</t>
  </si>
  <si>
    <t>Kiểm tra lại Quản lý thẻ từ vựng</t>
  </si>
  <si>
    <t>Kiểm tra lại Nhập/xuất CSV</t>
  </si>
  <si>
    <t>Release Sprint 1</t>
  </si>
  <si>
    <t>Sprint 1 review meeting</t>
  </si>
  <si>
    <t>Sprint 1 retrospective</t>
  </si>
  <si>
    <t>BẢNG THỜI GIAN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</si>
</sst>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8" x14ac:knownFonts="1">
    <font>
      <sz val="11"/>
      <color theme="1"/>
      <name val="Calibri"/>
      <scheme val="minor"/>
    </font>
    <font>
      <b/>
      <sz val="13"/>
      <color theme="1"/>
      <name val="Times New Roman"/>
      <family val="1"/>
    </font>
    <font>
      <sz val="11"/>
      <name val="Calibri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0F035"/>
        <bgColor rgb="FF30F035"/>
      </patternFill>
    </fill>
    <fill>
      <patternFill patternType="solid">
        <fgColor rgb="FFD6DCE4"/>
        <bgColor rgb="FFD6DCE4"/>
      </patternFill>
    </fill>
    <fill>
      <patternFill patternType="solid">
        <fgColor theme="6"/>
        <bgColor theme="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</patternFill>
    </fill>
    <fill>
      <patternFill patternType="solid">
        <fgColor rgb="FF30F035"/>
      </patternFill>
    </fill>
    <fill>
      <patternFill patternType="solid">
        <fgColor rgb="FFFF0000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0" xfId="0" applyFont="1"/>
    <xf numFmtId="0" fontId="3" fillId="2" borderId="3" xfId="0" applyFont="1" applyFill="1" applyBorder="1"/>
    <xf numFmtId="0" fontId="3" fillId="0" borderId="4" xfId="0" applyFont="1" applyBorder="1" applyAlignment="1">
      <alignment horizontal="left" vertical="center"/>
    </xf>
    <xf numFmtId="0" fontId="3" fillId="0" borderId="2" xfId="0" applyFont="1" applyBorder="1"/>
    <xf numFmtId="0" fontId="3" fillId="3" borderId="5" xfId="0" applyFont="1" applyFill="1" applyBorder="1"/>
    <xf numFmtId="0" fontId="3" fillId="0" borderId="6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/>
    </xf>
    <xf numFmtId="0" fontId="3" fillId="4" borderId="7" xfId="0" applyFont="1" applyFill="1" applyBorder="1"/>
    <xf numFmtId="0" fontId="3" fillId="0" borderId="8" xfId="0" applyFont="1" applyBorder="1" applyAlignment="1">
      <alignment vertical="center" wrapText="1"/>
    </xf>
    <xf numFmtId="0" fontId="1" fillId="6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1" fillId="5" borderId="11" xfId="0" applyFont="1" applyFill="1" applyBorder="1"/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0" xfId="0" applyFont="1"/>
    <xf numFmtId="0" fontId="3" fillId="0" borderId="24" xfId="0" applyFont="1" applyBorder="1"/>
    <xf numFmtId="0" fontId="5" fillId="0" borderId="24" xfId="0" applyFont="1" applyBorder="1"/>
    <xf numFmtId="0" fontId="6" fillId="0" borderId="24" xfId="0" applyFont="1" applyBorder="1"/>
    <xf numFmtId="0" fontId="4" fillId="5" borderId="14" xfId="0" applyFont="1" applyFill="1" applyBorder="1"/>
    <xf numFmtId="164" fontId="4" fillId="0" borderId="14" xfId="0" applyNumberFormat="1" applyFont="1" applyBorder="1" applyAlignment="1">
      <alignment textRotation="90" wrapText="1"/>
    </xf>
    <xf numFmtId="0" fontId="1" fillId="5" borderId="15" xfId="0" applyFont="1" applyFill="1" applyBorder="1"/>
    <xf numFmtId="0" fontId="1" fillId="0" borderId="15" xfId="0" applyFont="1" applyBorder="1" applyAlignment="1">
      <alignment textRotation="90" wrapText="1"/>
    </xf>
    <xf numFmtId="164" fontId="1" fillId="0" borderId="15" xfId="0" applyNumberFormat="1" applyFont="1" applyBorder="1" applyAlignment="1">
      <alignment textRotation="90" wrapText="1"/>
    </xf>
    <xf numFmtId="0" fontId="4" fillId="0" borderId="15" xfId="0" applyFont="1" applyBorder="1" applyAlignment="1">
      <alignment textRotation="90" wrapText="1"/>
    </xf>
    <xf numFmtId="0" fontId="4" fillId="0" borderId="14" xfId="0" applyFont="1" applyBorder="1" applyAlignment="1">
      <alignment textRotation="90" wrapText="1"/>
    </xf>
    <xf numFmtId="0" fontId="5" fillId="8" borderId="24" xfId="0" applyFont="1" applyFill="1" applyBorder="1"/>
    <xf numFmtId="0" fontId="3" fillId="8" borderId="24" xfId="0" applyFont="1" applyFill="1" applyBorder="1"/>
    <xf numFmtId="0" fontId="3" fillId="8" borderId="2" xfId="0" applyFont="1" applyFill="1" applyBorder="1"/>
    <xf numFmtId="0" fontId="3" fillId="9" borderId="2" xfId="0" applyFont="1" applyFill="1" applyBorder="1"/>
    <xf numFmtId="0" fontId="3" fillId="10" borderId="2" xfId="0" applyFont="1" applyFill="1" applyBorder="1"/>
    <xf numFmtId="0" fontId="1" fillId="0" borderId="2" xfId="0" applyFont="1" applyBorder="1" applyAlignment="1">
      <alignment horizontal="left"/>
    </xf>
    <xf numFmtId="0" fontId="0" fillId="0" borderId="1" xfId="0" applyBorder="1"/>
    <xf numFmtId="0" fontId="5" fillId="0" borderId="24" xfId="0" applyFont="1" applyBorder="1" applyAlignment="1">
      <alignment horizontal="center"/>
    </xf>
    <xf numFmtId="0" fontId="0" fillId="0" borderId="28" xfId="0" applyBorder="1"/>
    <xf numFmtId="0" fontId="5" fillId="0" borderId="24" xfId="0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5" fillId="0" borderId="2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5" borderId="1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0" fillId="0" borderId="27" xfId="0" applyBorder="1"/>
    <xf numFmtId="0" fontId="0" fillId="0" borderId="13" xfId="0" applyBorder="1"/>
    <xf numFmtId="0" fontId="1" fillId="5" borderId="15" xfId="0" applyFont="1" applyFill="1" applyBorder="1" applyAlignment="1">
      <alignment horizontal="center"/>
    </xf>
    <xf numFmtId="0" fontId="0" fillId="0" borderId="21" xfId="0" applyBorder="1"/>
    <xf numFmtId="0" fontId="3" fillId="0" borderId="2" xfId="0" applyFont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0" fontId="3" fillId="0" borderId="24" xfId="0" applyFont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/>
    </xf>
    <xf numFmtId="0" fontId="0" fillId="0" borderId="23" xfId="0" applyBorder="1"/>
    <xf numFmtId="0" fontId="4" fillId="7" borderId="24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1" fillId="5" borderId="2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4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Thực tế</c:v>
          </c:tx>
          <c:spPr>
            <a:ln cmpd="sng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numRef>
              <c:f>'Sprint 1'!$I$99:$AB$99</c:f>
              <c:numCache>
                <c:formatCode>dd/mm</c:formatCode>
                <c:ptCount val="20"/>
                <c:pt idx="0">
                  <c:v>46293</c:v>
                </c:pt>
                <c:pt idx="1">
                  <c:v>46294</c:v>
                </c:pt>
                <c:pt idx="2">
                  <c:v>46295</c:v>
                </c:pt>
                <c:pt idx="3">
                  <c:v>46296</c:v>
                </c:pt>
                <c:pt idx="4">
                  <c:v>46297</c:v>
                </c:pt>
                <c:pt idx="5">
                  <c:v>46298</c:v>
                </c:pt>
                <c:pt idx="6">
                  <c:v>46299</c:v>
                </c:pt>
                <c:pt idx="7">
                  <c:v>46300</c:v>
                </c:pt>
                <c:pt idx="8">
                  <c:v>46301</c:v>
                </c:pt>
                <c:pt idx="9">
                  <c:v>46302</c:v>
                </c:pt>
                <c:pt idx="10">
                  <c:v>46303</c:v>
                </c:pt>
                <c:pt idx="11">
                  <c:v>46304</c:v>
                </c:pt>
                <c:pt idx="12">
                  <c:v>46305</c:v>
                </c:pt>
                <c:pt idx="13">
                  <c:v>46306</c:v>
                </c:pt>
                <c:pt idx="14">
                  <c:v>46307</c:v>
                </c:pt>
                <c:pt idx="15">
                  <c:v>46308</c:v>
                </c:pt>
                <c:pt idx="16">
                  <c:v>46309</c:v>
                </c:pt>
                <c:pt idx="17">
                  <c:v>46310</c:v>
                </c:pt>
                <c:pt idx="18">
                  <c:v>46311</c:v>
                </c:pt>
                <c:pt idx="19">
                  <c:v>46312</c:v>
                </c:pt>
              </c:numCache>
            </c:numRef>
          </c:cat>
          <c:val>
            <c:numRef>
              <c:f>'Sprint 1'!$I$178:$AB$178</c:f>
              <c:numCache>
                <c:formatCode>General</c:formatCode>
                <c:ptCount val="20"/>
                <c:pt idx="0">
                  <c:v>307</c:v>
                </c:pt>
                <c:pt idx="1">
                  <c:v>256</c:v>
                </c:pt>
                <c:pt idx="2">
                  <c:v>226</c:v>
                </c:pt>
                <c:pt idx="3">
                  <c:v>202</c:v>
                </c:pt>
                <c:pt idx="4">
                  <c:v>184</c:v>
                </c:pt>
                <c:pt idx="5">
                  <c:v>176</c:v>
                </c:pt>
                <c:pt idx="6">
                  <c:v>170</c:v>
                </c:pt>
                <c:pt idx="7">
                  <c:v>152</c:v>
                </c:pt>
                <c:pt idx="8">
                  <c:v>144</c:v>
                </c:pt>
                <c:pt idx="9">
                  <c:v>144</c:v>
                </c:pt>
                <c:pt idx="10">
                  <c:v>144</c:v>
                </c:pt>
                <c:pt idx="11">
                  <c:v>144</c:v>
                </c:pt>
                <c:pt idx="12">
                  <c:v>118</c:v>
                </c:pt>
                <c:pt idx="13">
                  <c:v>118</c:v>
                </c:pt>
                <c:pt idx="14">
                  <c:v>100</c:v>
                </c:pt>
                <c:pt idx="15">
                  <c:v>69</c:v>
                </c:pt>
                <c:pt idx="16">
                  <c:v>69</c:v>
                </c:pt>
                <c:pt idx="17">
                  <c:v>61</c:v>
                </c:pt>
                <c:pt idx="18">
                  <c:v>53</c:v>
                </c:pt>
                <c:pt idx="1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8-4BE0-A9C0-1C25E23DF13A}"/>
            </c:ext>
          </c:extLst>
        </c:ser>
        <c:ser>
          <c:idx val="1"/>
          <c:order val="1"/>
          <c:tx>
            <c:v>Ước tính</c:v>
          </c:tx>
          <c:spPr>
            <a:ln cmpd="sng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'Sprint 1'!$I$99:$AB$99</c:f>
              <c:numCache>
                <c:formatCode>dd/mm</c:formatCode>
                <c:ptCount val="20"/>
                <c:pt idx="0">
                  <c:v>46293</c:v>
                </c:pt>
                <c:pt idx="1">
                  <c:v>46294</c:v>
                </c:pt>
                <c:pt idx="2">
                  <c:v>46295</c:v>
                </c:pt>
                <c:pt idx="3">
                  <c:v>46296</c:v>
                </c:pt>
                <c:pt idx="4">
                  <c:v>46297</c:v>
                </c:pt>
                <c:pt idx="5">
                  <c:v>46298</c:v>
                </c:pt>
                <c:pt idx="6">
                  <c:v>46299</c:v>
                </c:pt>
                <c:pt idx="7">
                  <c:v>46300</c:v>
                </c:pt>
                <c:pt idx="8">
                  <c:v>46301</c:v>
                </c:pt>
                <c:pt idx="9">
                  <c:v>46302</c:v>
                </c:pt>
                <c:pt idx="10">
                  <c:v>46303</c:v>
                </c:pt>
                <c:pt idx="11">
                  <c:v>46304</c:v>
                </c:pt>
                <c:pt idx="12">
                  <c:v>46305</c:v>
                </c:pt>
                <c:pt idx="13">
                  <c:v>46306</c:v>
                </c:pt>
                <c:pt idx="14">
                  <c:v>46307</c:v>
                </c:pt>
                <c:pt idx="15">
                  <c:v>46308</c:v>
                </c:pt>
                <c:pt idx="16">
                  <c:v>46309</c:v>
                </c:pt>
                <c:pt idx="17">
                  <c:v>46310</c:v>
                </c:pt>
                <c:pt idx="18">
                  <c:v>46311</c:v>
                </c:pt>
                <c:pt idx="19">
                  <c:v>46312</c:v>
                </c:pt>
              </c:numCache>
            </c:numRef>
          </c:cat>
          <c:val>
            <c:numRef>
              <c:f>'Sprint 1'!$I$179:$AB$179</c:f>
              <c:numCache>
                <c:formatCode>General</c:formatCode>
                <c:ptCount val="20"/>
                <c:pt idx="0">
                  <c:v>307</c:v>
                </c:pt>
                <c:pt idx="1">
                  <c:v>299</c:v>
                </c:pt>
                <c:pt idx="2">
                  <c:v>291</c:v>
                </c:pt>
                <c:pt idx="3">
                  <c:v>283</c:v>
                </c:pt>
                <c:pt idx="4">
                  <c:v>268</c:v>
                </c:pt>
                <c:pt idx="5">
                  <c:v>260</c:v>
                </c:pt>
                <c:pt idx="6">
                  <c:v>252</c:v>
                </c:pt>
                <c:pt idx="7">
                  <c:v>237</c:v>
                </c:pt>
                <c:pt idx="8">
                  <c:v>223</c:v>
                </c:pt>
                <c:pt idx="9">
                  <c:v>209</c:v>
                </c:pt>
                <c:pt idx="10">
                  <c:v>195</c:v>
                </c:pt>
                <c:pt idx="11">
                  <c:v>181</c:v>
                </c:pt>
                <c:pt idx="12">
                  <c:v>153</c:v>
                </c:pt>
                <c:pt idx="13">
                  <c:v>125</c:v>
                </c:pt>
                <c:pt idx="14">
                  <c:v>93</c:v>
                </c:pt>
                <c:pt idx="15">
                  <c:v>83</c:v>
                </c:pt>
                <c:pt idx="16">
                  <c:v>52</c:v>
                </c:pt>
                <c:pt idx="17">
                  <c:v>31</c:v>
                </c:pt>
                <c:pt idx="18">
                  <c:v>10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8-4BE0-A9C0-1C25E23DF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493349"/>
        <c:axId val="390369615"/>
      </c:lineChart>
      <c:dateAx>
        <c:axId val="1181493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0369615"/>
        <c:crosses val="autoZero"/>
        <c:auto val="1"/>
        <c:lblOffset val="100"/>
        <c:baseTimeUnit val="days"/>
      </c:dateAx>
      <c:valAx>
        <c:axId val="390369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14933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1181100</xdr:colOff>
      <xdr:row>179</xdr:row>
      <xdr:rowOff>171450</xdr:rowOff>
    </xdr:from>
    <xdr:ext cx="11706225" cy="6657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9"/>
  <sheetViews>
    <sheetView tabSelected="1" topLeftCell="A16" zoomScale="70" workbookViewId="0">
      <selection activeCell="AE31" sqref="AE31"/>
    </sheetView>
  </sheetViews>
  <sheetFormatPr defaultColWidth="14.42578125" defaultRowHeight="15" customHeight="1" x14ac:dyDescent="0.25"/>
  <cols>
    <col min="1" max="1" width="16" customWidth="1"/>
    <col min="2" max="2" width="20.28515625" customWidth="1"/>
    <col min="3" max="3" width="55.42578125" customWidth="1"/>
    <col min="4" max="5" width="11" customWidth="1"/>
    <col min="6" max="6" width="20.5703125" customWidth="1"/>
    <col min="7" max="7" width="9.5703125" customWidth="1"/>
    <col min="8" max="8" width="9.42578125" customWidth="1"/>
    <col min="9" max="9" width="5.7109375" customWidth="1"/>
    <col min="10" max="13" width="6.140625" customWidth="1"/>
    <col min="14" max="14" width="6" customWidth="1"/>
    <col min="15" max="15" width="6.140625" customWidth="1"/>
    <col min="16" max="20" width="6" customWidth="1"/>
    <col min="21" max="23" width="6.140625" customWidth="1"/>
    <col min="24" max="24" width="6" customWidth="1"/>
    <col min="25" max="25" width="6.140625" customWidth="1"/>
    <col min="26" max="26" width="6" customWidth="1"/>
    <col min="27" max="27" width="5.85546875" customWidth="1"/>
    <col min="28" max="28" width="6.140625" customWidth="1"/>
  </cols>
  <sheetData>
    <row r="1" spans="1:28" ht="16.5" customHeight="1" x14ac:dyDescent="0.25">
      <c r="A1" s="35" t="s">
        <v>0</v>
      </c>
      <c r="B1" s="36"/>
      <c r="C1" s="1" t="s">
        <v>1</v>
      </c>
      <c r="D1" s="2"/>
      <c r="E1" s="3"/>
      <c r="F1" s="4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5" customHeight="1" x14ac:dyDescent="0.25">
      <c r="A2" s="35" t="s">
        <v>3</v>
      </c>
      <c r="B2" s="36"/>
      <c r="C2" s="5" t="s">
        <v>4</v>
      </c>
      <c r="D2" s="2"/>
      <c r="E2" s="6"/>
      <c r="F2" s="7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.5" customHeight="1" x14ac:dyDescent="0.25">
      <c r="A3" s="35" t="s">
        <v>6</v>
      </c>
      <c r="B3" s="36"/>
      <c r="C3" s="8" t="s">
        <v>7</v>
      </c>
      <c r="D3" s="2"/>
      <c r="E3" s="9"/>
      <c r="F3" s="10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7.25" customHeight="1" x14ac:dyDescent="0.25">
      <c r="A4" s="35" t="s">
        <v>9</v>
      </c>
      <c r="B4" s="36"/>
      <c r="C4" s="8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5" customHeight="1" x14ac:dyDescent="0.25">
      <c r="A6" s="2"/>
      <c r="B6" s="64" t="s">
        <v>11</v>
      </c>
      <c r="C6" s="65"/>
      <c r="D6" s="65"/>
      <c r="E6" s="6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6.5" customHeight="1" x14ac:dyDescent="0.25">
      <c r="A7" s="2"/>
      <c r="B7" s="11" t="s">
        <v>12</v>
      </c>
      <c r="C7" s="11" t="s">
        <v>13</v>
      </c>
      <c r="D7" s="11" t="s">
        <v>14</v>
      </c>
      <c r="E7" s="11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6.5" customHeight="1" x14ac:dyDescent="0.25">
      <c r="A8" s="2"/>
      <c r="B8" s="12">
        <v>1</v>
      </c>
      <c r="C8" s="13" t="s">
        <v>16</v>
      </c>
      <c r="D8" s="13">
        <f ca="1">SUMIF($E$100:$F$177,"Thảo",$G$100:$G$177)+SUMIF($E$100:$F$177,"All team",$G$100:$G$177)/5+SUMIF($E$100:$F$177,"Pho,Thảo",$G$100:$G$177)/2</f>
        <v>56</v>
      </c>
      <c r="E8" s="13">
        <f ca="1">SUMIF($E$100:$F$177,"Thảo",$H$100:$H$177)+SUMIF($E$100:$F$177,"All team",$H$100:$H$177)/5+SUMIF($E$100:$F$177,"Pho,Thảo",$H$100:$H$177)/2</f>
        <v>64.5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6.5" customHeight="1" x14ac:dyDescent="0.25">
      <c r="A9" s="2"/>
      <c r="B9" s="12">
        <v>2</v>
      </c>
      <c r="C9" s="13" t="s">
        <v>17</v>
      </c>
      <c r="D9" s="13">
        <f ca="1">SUMIF($E$100:$F$177,"Thái",$G$100:$G$177)+SUMIF($E$100:$F$177,"All team",$G$100:$G$177)/5</f>
        <v>55</v>
      </c>
      <c r="E9" s="13">
        <f ca="1">SUMIF($E$100:$F$177,"Thái",$H$100:$H$177)+SUMIF($E$100:$F$177,"All team",$H$100:$H$177)/5</f>
        <v>87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6.5" customHeight="1" x14ac:dyDescent="0.25">
      <c r="A10" s="2"/>
      <c r="B10" s="12">
        <v>3</v>
      </c>
      <c r="C10" s="13" t="s">
        <v>18</v>
      </c>
      <c r="D10" s="13">
        <f ca="1">SUMIF($E$100:$F$177,"Pho",$G$100:$G$177)+SUMIF($E$100:$F$177,"All team",$G$100:$G$177)/5+SUMIF($E$100:$F$177,"Pho,Thảo",$G$100:$G$177)/2</f>
        <v>94</v>
      </c>
      <c r="E10" s="13">
        <f ca="1">SUMIF($E$100:$F$177,"Pho",$H$100:$H$177)+SUMIF($E$100:$F$177,"All team",$H$100:$H$177)/5+SUMIF($E$100:$F$177,"Pho,Thảo",$H$100:$H$177)/2</f>
        <v>102.5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6.5" customHeight="1" x14ac:dyDescent="0.25">
      <c r="A11" s="2"/>
      <c r="B11" s="12">
        <v>4</v>
      </c>
      <c r="C11" s="13" t="s">
        <v>19</v>
      </c>
      <c r="D11" s="13">
        <f ca="1">SUMIF($E$100:$F$177,"Màu",$G$100:$G$177)+SUMIF($E$100:$F$177,"All team",$G$100:$G$177)/5</f>
        <v>33</v>
      </c>
      <c r="E11" s="13">
        <f ca="1">SUMIF($E$100:$F$177,"Màu",$H$100:$H$177)+SUMIF($E$100:$F$177,"All team",$H$100:$H$177)/5</f>
        <v>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6.5" customHeight="1" x14ac:dyDescent="0.25">
      <c r="A12" s="2"/>
      <c r="B12" s="12">
        <v>5</v>
      </c>
      <c r="C12" s="13" t="s">
        <v>20</v>
      </c>
      <c r="D12" s="13">
        <f ca="1">SUMIF($E$100:$F$177,"Quân",$G$100:$G$177)+SUMIF($E$100:$F$177,"All team",$G$100:$G$177)/5</f>
        <v>26</v>
      </c>
      <c r="E12" s="13">
        <f ca="1">SUMIF($E$100:$F$177,"Quân",$H$100:$H$177)+SUMIF($E$100:$F$177,"All team",$H$100:$H$177)/5</f>
        <v>28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6.5" customHeight="1" x14ac:dyDescent="0.25">
      <c r="A13" s="2"/>
      <c r="B13" s="64" t="s">
        <v>21</v>
      </c>
      <c r="C13" s="66"/>
      <c r="D13" s="14">
        <f ca="1">SUM(D8:D12)</f>
        <v>264</v>
      </c>
      <c r="E13" s="14">
        <f ca="1">SUM(E8:E12)</f>
        <v>317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6.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26.25" customHeight="1" x14ac:dyDescent="0.25">
      <c r="A15" s="60" t="s">
        <v>22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38"/>
      <c r="AB15" s="2"/>
    </row>
    <row r="16" spans="1:28" ht="61.5" customHeight="1" x14ac:dyDescent="0.25">
      <c r="A16" s="23" t="s">
        <v>23</v>
      </c>
      <c r="B16" s="23" t="s">
        <v>24</v>
      </c>
      <c r="C16" s="58" t="s">
        <v>25</v>
      </c>
      <c r="D16" s="59"/>
      <c r="E16" s="58" t="s">
        <v>26</v>
      </c>
      <c r="F16" s="59"/>
      <c r="G16" s="29" t="s">
        <v>15</v>
      </c>
      <c r="H16" s="24">
        <v>46293</v>
      </c>
      <c r="I16" s="24">
        <v>46294</v>
      </c>
      <c r="J16" s="24">
        <v>46295</v>
      </c>
      <c r="K16" s="24">
        <v>46296</v>
      </c>
      <c r="L16" s="24">
        <v>46297</v>
      </c>
      <c r="M16" s="24">
        <v>46298</v>
      </c>
      <c r="N16" s="24">
        <v>46299</v>
      </c>
      <c r="O16" s="24">
        <v>46300</v>
      </c>
      <c r="P16" s="24">
        <v>46301</v>
      </c>
      <c r="Q16" s="24">
        <v>46302</v>
      </c>
      <c r="R16" s="24">
        <v>46303</v>
      </c>
      <c r="S16" s="24">
        <v>46304</v>
      </c>
      <c r="T16" s="24">
        <v>46305</v>
      </c>
      <c r="U16" s="24">
        <v>46306</v>
      </c>
      <c r="V16" s="24">
        <v>46307</v>
      </c>
      <c r="W16" s="24">
        <v>46308</v>
      </c>
      <c r="X16" s="24">
        <v>46309</v>
      </c>
      <c r="Y16" s="24">
        <v>46310</v>
      </c>
      <c r="Z16" s="24">
        <v>46311</v>
      </c>
      <c r="AA16" s="24">
        <v>46312</v>
      </c>
    </row>
    <row r="17" spans="1:27" ht="16.5" customHeight="1" x14ac:dyDescent="0.25">
      <c r="A17" s="39" t="s">
        <v>4</v>
      </c>
      <c r="B17" s="42" t="s">
        <v>27</v>
      </c>
      <c r="C17" s="50"/>
      <c r="D17" s="38"/>
      <c r="E17" s="37" t="s">
        <v>28</v>
      </c>
      <c r="F17" s="38"/>
      <c r="G17" s="21">
        <v>10</v>
      </c>
      <c r="H17" s="30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</row>
    <row r="18" spans="1:27" ht="16.5" customHeight="1" x14ac:dyDescent="0.25">
      <c r="A18" s="40"/>
      <c r="B18" s="42" t="s">
        <v>29</v>
      </c>
      <c r="C18" s="50"/>
      <c r="D18" s="38"/>
      <c r="E18" s="37" t="s">
        <v>30</v>
      </c>
      <c r="F18" s="38"/>
      <c r="G18" s="21">
        <v>4</v>
      </c>
      <c r="H18" s="21">
        <v>4</v>
      </c>
      <c r="I18" s="30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</row>
    <row r="19" spans="1:27" ht="16.5" customHeight="1" x14ac:dyDescent="0.25">
      <c r="A19" s="40"/>
      <c r="B19" s="42" t="s">
        <v>31</v>
      </c>
      <c r="C19" s="50"/>
      <c r="D19" s="38"/>
      <c r="E19" s="37" t="s">
        <v>32</v>
      </c>
      <c r="F19" s="38"/>
      <c r="G19" s="21">
        <v>4</v>
      </c>
      <c r="H19" s="21">
        <v>4</v>
      </c>
      <c r="I19" s="30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</row>
    <row r="20" spans="1:27" ht="16.5" customHeight="1" x14ac:dyDescent="0.25">
      <c r="A20" s="40"/>
      <c r="B20" s="39" t="s">
        <v>33</v>
      </c>
      <c r="C20" s="42" t="s">
        <v>34</v>
      </c>
      <c r="D20" s="38"/>
      <c r="E20" s="37" t="s">
        <v>30</v>
      </c>
      <c r="F20" s="38"/>
      <c r="G20" s="21">
        <v>2</v>
      </c>
      <c r="H20" s="21">
        <v>2</v>
      </c>
      <c r="I20" s="21">
        <v>2</v>
      </c>
      <c r="J20" s="30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</row>
    <row r="21" spans="1:27" ht="16.5" customHeight="1" x14ac:dyDescent="0.25">
      <c r="A21" s="40"/>
      <c r="B21" s="40"/>
      <c r="C21" s="42" t="s">
        <v>35</v>
      </c>
      <c r="D21" s="38"/>
      <c r="E21" s="37" t="s">
        <v>30</v>
      </c>
      <c r="F21" s="38"/>
      <c r="G21" s="21">
        <v>2</v>
      </c>
      <c r="H21" s="21">
        <v>2</v>
      </c>
      <c r="I21" s="21">
        <v>2</v>
      </c>
      <c r="J21" s="30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</row>
    <row r="22" spans="1:27" ht="16.5" customHeight="1" x14ac:dyDescent="0.25">
      <c r="A22" s="40"/>
      <c r="B22" s="40"/>
      <c r="C22" s="42" t="s">
        <v>36</v>
      </c>
      <c r="D22" s="38"/>
      <c r="E22" s="37" t="s">
        <v>30</v>
      </c>
      <c r="F22" s="38"/>
      <c r="G22" s="21">
        <v>2</v>
      </c>
      <c r="H22" s="21">
        <v>2</v>
      </c>
      <c r="I22" s="21">
        <v>2</v>
      </c>
      <c r="J22" s="30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</row>
    <row r="23" spans="1:27" ht="16.5" customHeight="1" x14ac:dyDescent="0.25">
      <c r="A23" s="40"/>
      <c r="B23" s="40"/>
      <c r="C23" s="42" t="s">
        <v>37</v>
      </c>
      <c r="D23" s="38"/>
      <c r="E23" s="37" t="s">
        <v>30</v>
      </c>
      <c r="F23" s="38"/>
      <c r="G23" s="21">
        <v>2</v>
      </c>
      <c r="H23" s="21">
        <v>2</v>
      </c>
      <c r="I23" s="21">
        <v>2</v>
      </c>
      <c r="J23" s="30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</row>
    <row r="24" spans="1:27" ht="16.5" customHeight="1" x14ac:dyDescent="0.25">
      <c r="A24" s="40"/>
      <c r="B24" s="40"/>
      <c r="C24" s="42" t="s">
        <v>38</v>
      </c>
      <c r="D24" s="38"/>
      <c r="E24" s="37" t="s">
        <v>30</v>
      </c>
      <c r="F24" s="38"/>
      <c r="G24" s="21">
        <v>2</v>
      </c>
      <c r="H24" s="21">
        <v>2</v>
      </c>
      <c r="I24" s="21">
        <v>2</v>
      </c>
      <c r="J24" s="21">
        <v>2</v>
      </c>
      <c r="K24" s="30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</row>
    <row r="25" spans="1:27" ht="16.5" customHeight="1" x14ac:dyDescent="0.25">
      <c r="A25" s="40"/>
      <c r="B25" s="40"/>
      <c r="C25" s="42" t="s">
        <v>39</v>
      </c>
      <c r="D25" s="38"/>
      <c r="E25" s="37" t="s">
        <v>40</v>
      </c>
      <c r="F25" s="38"/>
      <c r="G25" s="21">
        <v>2</v>
      </c>
      <c r="H25" s="21">
        <v>2</v>
      </c>
      <c r="I25" s="21">
        <v>2</v>
      </c>
      <c r="J25" s="21">
        <v>2</v>
      </c>
      <c r="K25" s="30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</row>
    <row r="26" spans="1:27" ht="16.5" customHeight="1" x14ac:dyDescent="0.25">
      <c r="A26" s="40"/>
      <c r="B26" s="40"/>
      <c r="C26" s="42" t="s">
        <v>41</v>
      </c>
      <c r="D26" s="38"/>
      <c r="E26" s="37" t="s">
        <v>40</v>
      </c>
      <c r="F26" s="38"/>
      <c r="G26" s="21">
        <v>2</v>
      </c>
      <c r="H26" s="21">
        <v>2</v>
      </c>
      <c r="I26" s="21">
        <v>2</v>
      </c>
      <c r="J26" s="21">
        <v>2</v>
      </c>
      <c r="K26" s="30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</row>
    <row r="27" spans="1:27" ht="16.5" customHeight="1" x14ac:dyDescent="0.25">
      <c r="A27" s="40"/>
      <c r="B27" s="40"/>
      <c r="C27" s="42" t="s">
        <v>42</v>
      </c>
      <c r="D27" s="38"/>
      <c r="E27" s="37" t="s">
        <v>40</v>
      </c>
      <c r="F27" s="38"/>
      <c r="G27" s="21">
        <v>2</v>
      </c>
      <c r="H27" s="21">
        <v>2</v>
      </c>
      <c r="I27" s="21">
        <v>2</v>
      </c>
      <c r="J27" s="21">
        <v>2</v>
      </c>
      <c r="K27" s="30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</row>
    <row r="28" spans="1:27" ht="16.5" customHeight="1" x14ac:dyDescent="0.25">
      <c r="A28" s="40"/>
      <c r="B28" s="40"/>
      <c r="C28" s="42" t="s">
        <v>43</v>
      </c>
      <c r="D28" s="38"/>
      <c r="E28" s="37" t="s">
        <v>40</v>
      </c>
      <c r="F28" s="38"/>
      <c r="G28" s="21">
        <v>2</v>
      </c>
      <c r="H28" s="21">
        <v>2</v>
      </c>
      <c r="I28" s="21">
        <v>2</v>
      </c>
      <c r="J28" s="21">
        <v>2</v>
      </c>
      <c r="K28" s="21">
        <v>2</v>
      </c>
      <c r="L28" s="30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</row>
    <row r="29" spans="1:27" ht="16.5" customHeight="1" x14ac:dyDescent="0.25">
      <c r="A29" s="40"/>
      <c r="B29" s="40"/>
      <c r="C29" s="42" t="s">
        <v>44</v>
      </c>
      <c r="D29" s="38"/>
      <c r="E29" s="37" t="s">
        <v>40</v>
      </c>
      <c r="F29" s="38"/>
      <c r="G29" s="21">
        <v>3</v>
      </c>
      <c r="H29" s="21">
        <v>3</v>
      </c>
      <c r="I29" s="21">
        <v>3</v>
      </c>
      <c r="J29" s="21">
        <v>3</v>
      </c>
      <c r="K29" s="21">
        <v>3</v>
      </c>
      <c r="L29" s="30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</row>
    <row r="30" spans="1:27" ht="16.5" customHeight="1" x14ac:dyDescent="0.25">
      <c r="A30" s="40"/>
      <c r="B30" s="41"/>
      <c r="C30" s="42" t="s">
        <v>45</v>
      </c>
      <c r="D30" s="38"/>
      <c r="E30" s="37" t="s">
        <v>28</v>
      </c>
      <c r="F30" s="38"/>
      <c r="G30" s="21">
        <v>10</v>
      </c>
      <c r="H30" s="21">
        <v>10</v>
      </c>
      <c r="I30" s="21">
        <v>10</v>
      </c>
      <c r="J30" s="21">
        <v>10</v>
      </c>
      <c r="K30" s="21">
        <v>10</v>
      </c>
      <c r="L30" s="30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</row>
    <row r="31" spans="1:27" ht="16.5" customHeight="1" x14ac:dyDescent="0.25">
      <c r="A31" s="40"/>
      <c r="B31" s="39" t="s">
        <v>46</v>
      </c>
      <c r="C31" s="42" t="s">
        <v>47</v>
      </c>
      <c r="D31" s="38"/>
      <c r="E31" s="37" t="s">
        <v>32</v>
      </c>
      <c r="F31" s="38"/>
      <c r="G31" s="21">
        <v>2</v>
      </c>
      <c r="H31" s="21">
        <v>2</v>
      </c>
      <c r="I31" s="21">
        <v>2</v>
      </c>
      <c r="J31" s="21">
        <v>2</v>
      </c>
      <c r="K31" s="21">
        <v>2</v>
      </c>
      <c r="L31" s="21">
        <v>2</v>
      </c>
      <c r="M31" s="30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</row>
    <row r="32" spans="1:27" ht="16.5" customHeight="1" x14ac:dyDescent="0.25">
      <c r="A32" s="40"/>
      <c r="B32" s="40"/>
      <c r="C32" s="42" t="s">
        <v>48</v>
      </c>
      <c r="D32" s="38"/>
      <c r="E32" s="37" t="s">
        <v>32</v>
      </c>
      <c r="F32" s="38"/>
      <c r="G32" s="21">
        <v>2</v>
      </c>
      <c r="H32" s="21">
        <v>2</v>
      </c>
      <c r="I32" s="21">
        <v>2</v>
      </c>
      <c r="J32" s="21">
        <v>2</v>
      </c>
      <c r="K32" s="21">
        <v>2</v>
      </c>
      <c r="L32" s="21">
        <v>2</v>
      </c>
      <c r="M32" s="30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</row>
    <row r="33" spans="1:27" ht="16.5" customHeight="1" x14ac:dyDescent="0.25">
      <c r="A33" s="40"/>
      <c r="B33" s="40"/>
      <c r="C33" s="42" t="s">
        <v>49</v>
      </c>
      <c r="D33" s="38"/>
      <c r="E33" s="37" t="s">
        <v>32</v>
      </c>
      <c r="F33" s="38"/>
      <c r="G33" s="21">
        <v>2</v>
      </c>
      <c r="H33" s="21">
        <v>2</v>
      </c>
      <c r="I33" s="21">
        <v>2</v>
      </c>
      <c r="J33" s="21">
        <v>2</v>
      </c>
      <c r="K33" s="21">
        <v>2</v>
      </c>
      <c r="L33" s="21">
        <v>2</v>
      </c>
      <c r="M33" s="30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</row>
    <row r="34" spans="1:27" ht="16.5" customHeight="1" x14ac:dyDescent="0.25">
      <c r="A34" s="40"/>
      <c r="B34" s="40"/>
      <c r="C34" s="42" t="s">
        <v>50</v>
      </c>
      <c r="D34" s="38"/>
      <c r="E34" s="37" t="s">
        <v>32</v>
      </c>
      <c r="F34" s="38"/>
      <c r="G34" s="21">
        <v>2</v>
      </c>
      <c r="H34" s="21">
        <v>2</v>
      </c>
      <c r="I34" s="21">
        <v>2</v>
      </c>
      <c r="J34" s="21">
        <v>2</v>
      </c>
      <c r="K34" s="21">
        <v>2</v>
      </c>
      <c r="L34" s="21">
        <v>2</v>
      </c>
      <c r="M34" s="30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</row>
    <row r="35" spans="1:27" ht="16.5" customHeight="1" x14ac:dyDescent="0.25">
      <c r="A35" s="40"/>
      <c r="B35" s="40"/>
      <c r="C35" s="42" t="s">
        <v>51</v>
      </c>
      <c r="D35" s="38"/>
      <c r="E35" s="37" t="s">
        <v>32</v>
      </c>
      <c r="F35" s="38"/>
      <c r="G35" s="21">
        <v>2</v>
      </c>
      <c r="H35" s="21">
        <v>2</v>
      </c>
      <c r="I35" s="21">
        <v>2</v>
      </c>
      <c r="J35" s="21">
        <v>2</v>
      </c>
      <c r="K35" s="21">
        <v>2</v>
      </c>
      <c r="L35" s="21">
        <v>2</v>
      </c>
      <c r="M35" s="21">
        <v>2</v>
      </c>
      <c r="N35" s="30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</row>
    <row r="36" spans="1:27" ht="16.5" customHeight="1" x14ac:dyDescent="0.25">
      <c r="A36" s="40"/>
      <c r="B36" s="40"/>
      <c r="C36" s="42" t="s">
        <v>52</v>
      </c>
      <c r="D36" s="38"/>
      <c r="E36" s="37" t="s">
        <v>32</v>
      </c>
      <c r="F36" s="38"/>
      <c r="G36" s="21">
        <v>2</v>
      </c>
      <c r="H36" s="21">
        <v>2</v>
      </c>
      <c r="I36" s="21">
        <v>2</v>
      </c>
      <c r="J36" s="21">
        <v>2</v>
      </c>
      <c r="K36" s="21">
        <v>2</v>
      </c>
      <c r="L36" s="21">
        <v>2</v>
      </c>
      <c r="M36" s="21">
        <v>2</v>
      </c>
      <c r="N36" s="30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</row>
    <row r="37" spans="1:27" ht="16.5" customHeight="1" x14ac:dyDescent="0.25">
      <c r="A37" s="40"/>
      <c r="B37" s="40"/>
      <c r="C37" s="42" t="s">
        <v>53</v>
      </c>
      <c r="D37" s="38"/>
      <c r="E37" s="37" t="s">
        <v>32</v>
      </c>
      <c r="F37" s="38"/>
      <c r="G37" s="21">
        <v>2</v>
      </c>
      <c r="H37" s="21">
        <v>2</v>
      </c>
      <c r="I37" s="21">
        <v>2</v>
      </c>
      <c r="J37" s="21">
        <v>2</v>
      </c>
      <c r="K37" s="21">
        <v>2</v>
      </c>
      <c r="L37" s="21">
        <v>2</v>
      </c>
      <c r="M37" s="21">
        <v>2</v>
      </c>
      <c r="N37" s="30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</row>
    <row r="38" spans="1:27" ht="16.5" customHeight="1" x14ac:dyDescent="0.25">
      <c r="A38" s="40"/>
      <c r="B38" s="40"/>
      <c r="C38" s="42" t="s">
        <v>54</v>
      </c>
      <c r="D38" s="38"/>
      <c r="E38" s="37" t="s">
        <v>32</v>
      </c>
      <c r="F38" s="38"/>
      <c r="G38" s="21">
        <v>2</v>
      </c>
      <c r="H38" s="21">
        <v>2</v>
      </c>
      <c r="I38" s="21">
        <v>2</v>
      </c>
      <c r="J38" s="21">
        <v>2</v>
      </c>
      <c r="K38" s="21">
        <v>2</v>
      </c>
      <c r="L38" s="21">
        <v>2</v>
      </c>
      <c r="M38" s="21">
        <v>2</v>
      </c>
      <c r="N38" s="30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</row>
    <row r="39" spans="1:27" ht="16.5" customHeight="1" x14ac:dyDescent="0.25">
      <c r="A39" s="40"/>
      <c r="B39" s="40"/>
      <c r="C39" s="42" t="s">
        <v>55</v>
      </c>
      <c r="D39" s="38"/>
      <c r="E39" s="37" t="s">
        <v>32</v>
      </c>
      <c r="F39" s="38"/>
      <c r="G39" s="21">
        <v>2</v>
      </c>
      <c r="H39" s="21">
        <v>2</v>
      </c>
      <c r="I39" s="21">
        <v>2</v>
      </c>
      <c r="J39" s="21">
        <v>2</v>
      </c>
      <c r="K39" s="21">
        <v>2</v>
      </c>
      <c r="L39" s="21">
        <v>2</v>
      </c>
      <c r="M39" s="21">
        <v>2</v>
      </c>
      <c r="N39" s="21">
        <v>2</v>
      </c>
      <c r="O39" s="30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</row>
    <row r="40" spans="1:27" ht="16.5" customHeight="1" x14ac:dyDescent="0.25">
      <c r="A40" s="40"/>
      <c r="B40" s="40"/>
      <c r="C40" s="42" t="s">
        <v>56</v>
      </c>
      <c r="D40" s="38"/>
      <c r="E40" s="37" t="s">
        <v>32</v>
      </c>
      <c r="F40" s="38"/>
      <c r="G40" s="21">
        <v>3</v>
      </c>
      <c r="H40" s="21">
        <v>3</v>
      </c>
      <c r="I40" s="21">
        <v>3</v>
      </c>
      <c r="J40" s="21">
        <v>3</v>
      </c>
      <c r="K40" s="21">
        <v>3</v>
      </c>
      <c r="L40" s="21">
        <v>3</v>
      </c>
      <c r="M40" s="21">
        <v>3</v>
      </c>
      <c r="N40" s="21">
        <v>3</v>
      </c>
      <c r="O40" s="30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</row>
    <row r="41" spans="1:27" ht="16.5" customHeight="1" x14ac:dyDescent="0.25">
      <c r="A41" s="40"/>
      <c r="B41" s="41"/>
      <c r="C41" s="42" t="s">
        <v>57</v>
      </c>
      <c r="D41" s="38"/>
      <c r="E41" s="37" t="s">
        <v>28</v>
      </c>
      <c r="F41" s="38"/>
      <c r="G41" s="21">
        <v>10</v>
      </c>
      <c r="H41" s="21">
        <v>10</v>
      </c>
      <c r="I41" s="21">
        <v>10</v>
      </c>
      <c r="J41" s="21">
        <v>10</v>
      </c>
      <c r="K41" s="21">
        <v>10</v>
      </c>
      <c r="L41" s="21">
        <v>10</v>
      </c>
      <c r="M41" s="21">
        <v>10</v>
      </c>
      <c r="N41" s="21">
        <v>10</v>
      </c>
      <c r="O41" s="30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</row>
    <row r="42" spans="1:27" ht="16.5" customHeight="1" x14ac:dyDescent="0.25">
      <c r="A42" s="40"/>
      <c r="B42" s="39" t="s">
        <v>58</v>
      </c>
      <c r="C42" s="42" t="s">
        <v>59</v>
      </c>
      <c r="D42" s="38"/>
      <c r="E42" s="37" t="s">
        <v>60</v>
      </c>
      <c r="F42" s="38"/>
      <c r="G42" s="21">
        <v>8</v>
      </c>
      <c r="H42" s="21">
        <v>8</v>
      </c>
      <c r="I42" s="21">
        <v>8</v>
      </c>
      <c r="J42" s="21">
        <v>8</v>
      </c>
      <c r="K42" s="21">
        <v>8</v>
      </c>
      <c r="L42" s="21">
        <v>8</v>
      </c>
      <c r="M42" s="21">
        <v>8</v>
      </c>
      <c r="N42" s="21">
        <v>8</v>
      </c>
      <c r="O42" s="21">
        <v>8</v>
      </c>
      <c r="P42" s="30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</row>
    <row r="43" spans="1:27" ht="16.5" customHeight="1" x14ac:dyDescent="0.25">
      <c r="A43" s="40"/>
      <c r="B43" s="40"/>
      <c r="C43" s="42" t="s">
        <v>61</v>
      </c>
      <c r="D43" s="38"/>
      <c r="E43" s="37" t="s">
        <v>30</v>
      </c>
      <c r="F43" s="38"/>
      <c r="G43" s="21">
        <v>6</v>
      </c>
      <c r="H43" s="21">
        <v>6</v>
      </c>
      <c r="I43" s="21">
        <v>6</v>
      </c>
      <c r="J43" s="21">
        <v>6</v>
      </c>
      <c r="K43" s="21">
        <v>6</v>
      </c>
      <c r="L43" s="21">
        <v>6</v>
      </c>
      <c r="M43" s="21">
        <v>6</v>
      </c>
      <c r="N43" s="21">
        <v>6</v>
      </c>
      <c r="O43" s="21">
        <v>6</v>
      </c>
      <c r="P43" s="30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</row>
    <row r="44" spans="1:27" ht="16.5" customHeight="1" x14ac:dyDescent="0.25">
      <c r="A44" s="40"/>
      <c r="B44" s="40"/>
      <c r="C44" s="42" t="s">
        <v>62</v>
      </c>
      <c r="D44" s="38"/>
      <c r="E44" s="37" t="s">
        <v>60</v>
      </c>
      <c r="F44" s="38"/>
      <c r="G44" s="21">
        <v>8</v>
      </c>
      <c r="H44" s="21">
        <v>8</v>
      </c>
      <c r="I44" s="21">
        <v>8</v>
      </c>
      <c r="J44" s="21">
        <v>8</v>
      </c>
      <c r="K44" s="21">
        <v>8</v>
      </c>
      <c r="L44" s="21">
        <v>8</v>
      </c>
      <c r="M44" s="21">
        <v>8</v>
      </c>
      <c r="N44" s="21">
        <v>8</v>
      </c>
      <c r="O44" s="21">
        <v>8</v>
      </c>
      <c r="P44" s="21">
        <v>8</v>
      </c>
      <c r="Q44" s="30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</row>
    <row r="45" spans="1:27" ht="16.5" customHeight="1" x14ac:dyDescent="0.25">
      <c r="A45" s="40"/>
      <c r="B45" s="40"/>
      <c r="C45" s="42" t="s">
        <v>63</v>
      </c>
      <c r="D45" s="38"/>
      <c r="E45" s="37" t="s">
        <v>30</v>
      </c>
      <c r="F45" s="38"/>
      <c r="G45" s="21">
        <v>6</v>
      </c>
      <c r="H45" s="21">
        <v>6</v>
      </c>
      <c r="I45" s="21">
        <v>6</v>
      </c>
      <c r="J45" s="21">
        <v>6</v>
      </c>
      <c r="K45" s="21">
        <v>6</v>
      </c>
      <c r="L45" s="21">
        <v>6</v>
      </c>
      <c r="M45" s="21">
        <v>6</v>
      </c>
      <c r="N45" s="21">
        <v>6</v>
      </c>
      <c r="O45" s="21">
        <v>6</v>
      </c>
      <c r="P45" s="21">
        <v>6</v>
      </c>
      <c r="Q45" s="30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</row>
    <row r="46" spans="1:27" ht="16.5" customHeight="1" x14ac:dyDescent="0.25">
      <c r="A46" s="40"/>
      <c r="B46" s="40"/>
      <c r="C46" s="42" t="s">
        <v>64</v>
      </c>
      <c r="D46" s="38"/>
      <c r="E46" s="37" t="s">
        <v>60</v>
      </c>
      <c r="F46" s="38"/>
      <c r="G46" s="21">
        <v>8</v>
      </c>
      <c r="H46" s="21">
        <v>8</v>
      </c>
      <c r="I46" s="21">
        <v>8</v>
      </c>
      <c r="J46" s="21">
        <v>8</v>
      </c>
      <c r="K46" s="21">
        <v>8</v>
      </c>
      <c r="L46" s="21">
        <v>8</v>
      </c>
      <c r="M46" s="21">
        <v>8</v>
      </c>
      <c r="N46" s="21">
        <v>8</v>
      </c>
      <c r="O46" s="21">
        <v>8</v>
      </c>
      <c r="P46" s="21">
        <v>8</v>
      </c>
      <c r="Q46" s="21">
        <v>8</v>
      </c>
      <c r="R46" s="30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</row>
    <row r="47" spans="1:27" ht="16.5" customHeight="1" x14ac:dyDescent="0.25">
      <c r="A47" s="40"/>
      <c r="B47" s="40"/>
      <c r="C47" s="42" t="s">
        <v>65</v>
      </c>
      <c r="D47" s="38"/>
      <c r="E47" s="37" t="s">
        <v>30</v>
      </c>
      <c r="F47" s="38"/>
      <c r="G47" s="21">
        <v>6</v>
      </c>
      <c r="H47" s="21">
        <v>6</v>
      </c>
      <c r="I47" s="21">
        <v>6</v>
      </c>
      <c r="J47" s="21">
        <v>6</v>
      </c>
      <c r="K47" s="21">
        <v>6</v>
      </c>
      <c r="L47" s="21">
        <v>6</v>
      </c>
      <c r="M47" s="21">
        <v>6</v>
      </c>
      <c r="N47" s="21">
        <v>6</v>
      </c>
      <c r="O47" s="21">
        <v>6</v>
      </c>
      <c r="P47" s="21">
        <v>6</v>
      </c>
      <c r="Q47" s="21">
        <v>6</v>
      </c>
      <c r="R47" s="30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</row>
    <row r="48" spans="1:27" ht="16.5" customHeight="1" x14ac:dyDescent="0.25">
      <c r="A48" s="40"/>
      <c r="B48" s="40"/>
      <c r="C48" s="42" t="s">
        <v>66</v>
      </c>
      <c r="D48" s="38"/>
      <c r="E48" s="37" t="s">
        <v>60</v>
      </c>
      <c r="F48" s="38"/>
      <c r="G48" s="21">
        <v>8</v>
      </c>
      <c r="H48" s="21">
        <v>8</v>
      </c>
      <c r="I48" s="21">
        <v>8</v>
      </c>
      <c r="J48" s="21">
        <v>8</v>
      </c>
      <c r="K48" s="21">
        <v>8</v>
      </c>
      <c r="L48" s="21">
        <v>8</v>
      </c>
      <c r="M48" s="21">
        <v>8</v>
      </c>
      <c r="N48" s="21">
        <v>8</v>
      </c>
      <c r="O48" s="21">
        <v>8</v>
      </c>
      <c r="P48" s="21">
        <v>8</v>
      </c>
      <c r="Q48" s="21">
        <v>8</v>
      </c>
      <c r="R48" s="21">
        <v>8</v>
      </c>
      <c r="S48" s="30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</row>
    <row r="49" spans="1:27" ht="16.5" customHeight="1" x14ac:dyDescent="0.25">
      <c r="A49" s="40"/>
      <c r="B49" s="40"/>
      <c r="C49" s="42" t="s">
        <v>67</v>
      </c>
      <c r="D49" s="38"/>
      <c r="E49" s="37" t="s">
        <v>30</v>
      </c>
      <c r="F49" s="38"/>
      <c r="G49" s="21">
        <v>6</v>
      </c>
      <c r="H49" s="21">
        <v>6</v>
      </c>
      <c r="I49" s="21">
        <v>6</v>
      </c>
      <c r="J49" s="21">
        <v>6</v>
      </c>
      <c r="K49" s="21">
        <v>6</v>
      </c>
      <c r="L49" s="21">
        <v>6</v>
      </c>
      <c r="M49" s="21">
        <v>6</v>
      </c>
      <c r="N49" s="21">
        <v>6</v>
      </c>
      <c r="O49" s="21">
        <v>6</v>
      </c>
      <c r="P49" s="21">
        <v>6</v>
      </c>
      <c r="Q49" s="21">
        <v>6</v>
      </c>
      <c r="R49" s="21">
        <v>6</v>
      </c>
      <c r="S49" s="30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</row>
    <row r="50" spans="1:27" ht="16.5" customHeight="1" x14ac:dyDescent="0.25">
      <c r="A50" s="40"/>
      <c r="B50" s="40"/>
      <c r="C50" s="42" t="s">
        <v>68</v>
      </c>
      <c r="D50" s="38"/>
      <c r="E50" s="37" t="s">
        <v>60</v>
      </c>
      <c r="F50" s="38"/>
      <c r="G50" s="21">
        <v>8</v>
      </c>
      <c r="H50" s="21">
        <v>8</v>
      </c>
      <c r="I50" s="21">
        <v>8</v>
      </c>
      <c r="J50" s="21">
        <v>8</v>
      </c>
      <c r="K50" s="21">
        <v>8</v>
      </c>
      <c r="L50" s="21">
        <v>8</v>
      </c>
      <c r="M50" s="21">
        <v>8</v>
      </c>
      <c r="N50" s="21">
        <v>8</v>
      </c>
      <c r="O50" s="21">
        <v>8</v>
      </c>
      <c r="P50" s="21">
        <v>8</v>
      </c>
      <c r="Q50" s="21">
        <v>8</v>
      </c>
      <c r="R50" s="21">
        <v>8</v>
      </c>
      <c r="S50" s="21">
        <v>8</v>
      </c>
      <c r="T50" s="30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</row>
    <row r="51" spans="1:27" ht="16.5" customHeight="1" x14ac:dyDescent="0.25">
      <c r="A51" s="40"/>
      <c r="B51" s="40"/>
      <c r="C51" s="42" t="s">
        <v>69</v>
      </c>
      <c r="D51" s="38"/>
      <c r="E51" s="37" t="s">
        <v>30</v>
      </c>
      <c r="F51" s="38"/>
      <c r="G51" s="21">
        <v>6</v>
      </c>
      <c r="H51" s="21">
        <v>6</v>
      </c>
      <c r="I51" s="21">
        <v>6</v>
      </c>
      <c r="J51" s="21">
        <v>6</v>
      </c>
      <c r="K51" s="21">
        <v>6</v>
      </c>
      <c r="L51" s="21">
        <v>6</v>
      </c>
      <c r="M51" s="21">
        <v>6</v>
      </c>
      <c r="N51" s="21">
        <v>6</v>
      </c>
      <c r="O51" s="21">
        <v>6</v>
      </c>
      <c r="P51" s="21">
        <v>6</v>
      </c>
      <c r="Q51" s="21">
        <v>6</v>
      </c>
      <c r="R51" s="21">
        <v>6</v>
      </c>
      <c r="S51" s="21">
        <v>6</v>
      </c>
      <c r="T51" s="30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</row>
    <row r="52" spans="1:27" ht="16.5" customHeight="1" x14ac:dyDescent="0.25">
      <c r="A52" s="40"/>
      <c r="B52" s="40"/>
      <c r="C52" s="42" t="s">
        <v>70</v>
      </c>
      <c r="D52" s="38"/>
      <c r="E52" s="37" t="s">
        <v>60</v>
      </c>
      <c r="F52" s="38"/>
      <c r="G52" s="21">
        <v>8</v>
      </c>
      <c r="H52" s="21">
        <v>8</v>
      </c>
      <c r="I52" s="21">
        <v>8</v>
      </c>
      <c r="J52" s="21">
        <v>8</v>
      </c>
      <c r="K52" s="21">
        <v>8</v>
      </c>
      <c r="L52" s="21">
        <v>8</v>
      </c>
      <c r="M52" s="21">
        <v>8</v>
      </c>
      <c r="N52" s="21">
        <v>8</v>
      </c>
      <c r="O52" s="21">
        <v>8</v>
      </c>
      <c r="P52" s="21">
        <v>8</v>
      </c>
      <c r="Q52" s="21">
        <v>8</v>
      </c>
      <c r="R52" s="21">
        <v>8</v>
      </c>
      <c r="S52" s="21">
        <v>8</v>
      </c>
      <c r="T52" s="30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</row>
    <row r="53" spans="1:27" ht="16.5" customHeight="1" x14ac:dyDescent="0.25">
      <c r="A53" s="40"/>
      <c r="B53" s="40"/>
      <c r="C53" s="42" t="s">
        <v>71</v>
      </c>
      <c r="D53" s="38"/>
      <c r="E53" s="37" t="s">
        <v>72</v>
      </c>
      <c r="F53" s="38"/>
      <c r="G53" s="21">
        <v>6</v>
      </c>
      <c r="H53" s="21">
        <v>6</v>
      </c>
      <c r="I53" s="21">
        <v>6</v>
      </c>
      <c r="J53" s="21">
        <v>6</v>
      </c>
      <c r="K53" s="21">
        <v>6</v>
      </c>
      <c r="L53" s="21">
        <v>6</v>
      </c>
      <c r="M53" s="21">
        <v>6</v>
      </c>
      <c r="N53" s="21">
        <v>6</v>
      </c>
      <c r="O53" s="21">
        <v>6</v>
      </c>
      <c r="P53" s="21">
        <v>6</v>
      </c>
      <c r="Q53" s="21">
        <v>6</v>
      </c>
      <c r="R53" s="21">
        <v>6</v>
      </c>
      <c r="S53" s="21">
        <v>6</v>
      </c>
      <c r="T53" s="30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</row>
    <row r="54" spans="1:27" ht="16.5" customHeight="1" x14ac:dyDescent="0.25">
      <c r="A54" s="40"/>
      <c r="B54" s="40"/>
      <c r="C54" s="42" t="s">
        <v>73</v>
      </c>
      <c r="D54" s="38"/>
      <c r="E54" s="37" t="s">
        <v>60</v>
      </c>
      <c r="F54" s="38"/>
      <c r="G54" s="21">
        <v>8</v>
      </c>
      <c r="H54" s="21">
        <v>8</v>
      </c>
      <c r="I54" s="21">
        <v>8</v>
      </c>
      <c r="J54" s="21">
        <v>8</v>
      </c>
      <c r="K54" s="21">
        <v>8</v>
      </c>
      <c r="L54" s="21">
        <v>8</v>
      </c>
      <c r="M54" s="21">
        <v>8</v>
      </c>
      <c r="N54" s="21">
        <v>8</v>
      </c>
      <c r="O54" s="21">
        <v>8</v>
      </c>
      <c r="P54" s="21">
        <v>8</v>
      </c>
      <c r="Q54" s="21">
        <v>8</v>
      </c>
      <c r="R54" s="21">
        <v>8</v>
      </c>
      <c r="S54" s="21">
        <v>8</v>
      </c>
      <c r="T54" s="21">
        <v>8</v>
      </c>
      <c r="U54" s="30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</row>
    <row r="55" spans="1:27" ht="16.5" customHeight="1" x14ac:dyDescent="0.25">
      <c r="A55" s="40"/>
      <c r="B55" s="40"/>
      <c r="C55" s="42" t="s">
        <v>74</v>
      </c>
      <c r="D55" s="38"/>
      <c r="E55" s="37" t="s">
        <v>72</v>
      </c>
      <c r="F55" s="38"/>
      <c r="G55" s="21">
        <v>6</v>
      </c>
      <c r="H55" s="21">
        <v>6</v>
      </c>
      <c r="I55" s="21">
        <v>6</v>
      </c>
      <c r="J55" s="21">
        <v>6</v>
      </c>
      <c r="K55" s="21">
        <v>6</v>
      </c>
      <c r="L55" s="21">
        <v>6</v>
      </c>
      <c r="M55" s="21">
        <v>6</v>
      </c>
      <c r="N55" s="21">
        <v>6</v>
      </c>
      <c r="O55" s="21">
        <v>6</v>
      </c>
      <c r="P55" s="21">
        <v>6</v>
      </c>
      <c r="Q55" s="21">
        <v>6</v>
      </c>
      <c r="R55" s="21">
        <v>6</v>
      </c>
      <c r="S55" s="21">
        <v>6</v>
      </c>
      <c r="T55" s="21">
        <v>6</v>
      </c>
      <c r="U55" s="30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</row>
    <row r="56" spans="1:27" ht="16.5" customHeight="1" x14ac:dyDescent="0.25">
      <c r="A56" s="40"/>
      <c r="B56" s="40"/>
      <c r="C56" s="42" t="s">
        <v>75</v>
      </c>
      <c r="D56" s="38"/>
      <c r="E56" s="37" t="s">
        <v>60</v>
      </c>
      <c r="F56" s="38"/>
      <c r="G56" s="21">
        <v>8</v>
      </c>
      <c r="H56" s="21">
        <v>8</v>
      </c>
      <c r="I56" s="21">
        <v>8</v>
      </c>
      <c r="J56" s="21">
        <v>8</v>
      </c>
      <c r="K56" s="21">
        <v>8</v>
      </c>
      <c r="L56" s="21">
        <v>8</v>
      </c>
      <c r="M56" s="21">
        <v>8</v>
      </c>
      <c r="N56" s="21">
        <v>8</v>
      </c>
      <c r="O56" s="21">
        <v>8</v>
      </c>
      <c r="P56" s="21">
        <v>8</v>
      </c>
      <c r="Q56" s="21">
        <v>8</v>
      </c>
      <c r="R56" s="21">
        <v>8</v>
      </c>
      <c r="S56" s="21">
        <v>8</v>
      </c>
      <c r="T56" s="21">
        <v>8</v>
      </c>
      <c r="U56" s="30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</row>
    <row r="57" spans="1:27" ht="16.5" customHeight="1" x14ac:dyDescent="0.25">
      <c r="A57" s="40"/>
      <c r="B57" s="40"/>
      <c r="C57" s="42" t="s">
        <v>76</v>
      </c>
      <c r="D57" s="38"/>
      <c r="E57" s="37" t="s">
        <v>72</v>
      </c>
      <c r="F57" s="38"/>
      <c r="G57" s="21">
        <v>6</v>
      </c>
      <c r="H57" s="21">
        <v>6</v>
      </c>
      <c r="I57" s="21">
        <v>6</v>
      </c>
      <c r="J57" s="21">
        <v>6</v>
      </c>
      <c r="K57" s="21">
        <v>6</v>
      </c>
      <c r="L57" s="21">
        <v>6</v>
      </c>
      <c r="M57" s="21">
        <v>6</v>
      </c>
      <c r="N57" s="21">
        <v>6</v>
      </c>
      <c r="O57" s="21">
        <v>6</v>
      </c>
      <c r="P57" s="21">
        <v>6</v>
      </c>
      <c r="Q57" s="21">
        <v>6</v>
      </c>
      <c r="R57" s="21">
        <v>6</v>
      </c>
      <c r="S57" s="21">
        <v>6</v>
      </c>
      <c r="T57" s="21">
        <v>6</v>
      </c>
      <c r="U57" s="30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</row>
    <row r="58" spans="1:27" ht="16.5" customHeight="1" x14ac:dyDescent="0.25">
      <c r="A58" s="40"/>
      <c r="B58" s="40"/>
      <c r="C58" s="42" t="s">
        <v>77</v>
      </c>
      <c r="D58" s="38"/>
      <c r="E58" s="37" t="s">
        <v>60</v>
      </c>
      <c r="F58" s="38"/>
      <c r="G58" s="21">
        <v>8</v>
      </c>
      <c r="H58" s="21">
        <v>8</v>
      </c>
      <c r="I58" s="21">
        <v>8</v>
      </c>
      <c r="J58" s="21">
        <v>8</v>
      </c>
      <c r="K58" s="21">
        <v>8</v>
      </c>
      <c r="L58" s="21">
        <v>8</v>
      </c>
      <c r="M58" s="21">
        <v>8</v>
      </c>
      <c r="N58" s="21">
        <v>8</v>
      </c>
      <c r="O58" s="21">
        <v>8</v>
      </c>
      <c r="P58" s="21">
        <v>8</v>
      </c>
      <c r="Q58" s="21">
        <v>8</v>
      </c>
      <c r="R58" s="21">
        <v>8</v>
      </c>
      <c r="S58" s="21">
        <v>8</v>
      </c>
      <c r="T58" s="21">
        <v>8</v>
      </c>
      <c r="U58" s="21">
        <v>8</v>
      </c>
      <c r="V58" s="30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</row>
    <row r="59" spans="1:27" ht="16.5" customHeight="1" x14ac:dyDescent="0.25">
      <c r="A59" s="40"/>
      <c r="B59" s="40"/>
      <c r="C59" s="42" t="s">
        <v>78</v>
      </c>
      <c r="D59" s="38"/>
      <c r="E59" s="37" t="s">
        <v>40</v>
      </c>
      <c r="F59" s="38"/>
      <c r="G59" s="21">
        <v>6</v>
      </c>
      <c r="H59" s="21">
        <v>6</v>
      </c>
      <c r="I59" s="21">
        <v>6</v>
      </c>
      <c r="J59" s="21">
        <v>6</v>
      </c>
      <c r="K59" s="21">
        <v>6</v>
      </c>
      <c r="L59" s="21">
        <v>6</v>
      </c>
      <c r="M59" s="21">
        <v>6</v>
      </c>
      <c r="N59" s="21">
        <v>6</v>
      </c>
      <c r="O59" s="21">
        <v>6</v>
      </c>
      <c r="P59" s="21">
        <v>6</v>
      </c>
      <c r="Q59" s="21">
        <v>6</v>
      </c>
      <c r="R59" s="21">
        <v>6</v>
      </c>
      <c r="S59" s="21">
        <v>6</v>
      </c>
      <c r="T59" s="21">
        <v>6</v>
      </c>
      <c r="U59" s="21">
        <v>6</v>
      </c>
      <c r="V59" s="30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</row>
    <row r="60" spans="1:27" ht="16.5" customHeight="1" x14ac:dyDescent="0.25">
      <c r="A60" s="40"/>
      <c r="B60" s="40"/>
      <c r="C60" s="42" t="s">
        <v>79</v>
      </c>
      <c r="D60" s="38"/>
      <c r="E60" s="37" t="s">
        <v>60</v>
      </c>
      <c r="F60" s="38"/>
      <c r="G60" s="21">
        <v>10</v>
      </c>
      <c r="H60" s="21">
        <v>10</v>
      </c>
      <c r="I60" s="21">
        <v>10</v>
      </c>
      <c r="J60" s="21">
        <v>10</v>
      </c>
      <c r="K60" s="21">
        <v>10</v>
      </c>
      <c r="L60" s="21">
        <v>10</v>
      </c>
      <c r="M60" s="21">
        <v>10</v>
      </c>
      <c r="N60" s="21">
        <v>10</v>
      </c>
      <c r="O60" s="21">
        <v>10</v>
      </c>
      <c r="P60" s="21">
        <v>10</v>
      </c>
      <c r="Q60" s="21">
        <v>10</v>
      </c>
      <c r="R60" s="21">
        <v>10</v>
      </c>
      <c r="S60" s="21">
        <v>10</v>
      </c>
      <c r="T60" s="21">
        <v>10</v>
      </c>
      <c r="U60" s="21">
        <v>10</v>
      </c>
      <c r="V60" s="30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</row>
    <row r="61" spans="1:27" ht="16.5" customHeight="1" x14ac:dyDescent="0.25">
      <c r="A61" s="40"/>
      <c r="B61" s="40"/>
      <c r="C61" s="42" t="s">
        <v>80</v>
      </c>
      <c r="D61" s="38"/>
      <c r="E61" s="37" t="s">
        <v>40</v>
      </c>
      <c r="F61" s="38"/>
      <c r="G61" s="21">
        <v>8</v>
      </c>
      <c r="H61" s="21">
        <v>8</v>
      </c>
      <c r="I61" s="21">
        <v>8</v>
      </c>
      <c r="J61" s="21">
        <v>8</v>
      </c>
      <c r="K61" s="21">
        <v>8</v>
      </c>
      <c r="L61" s="21">
        <v>8</v>
      </c>
      <c r="M61" s="21">
        <v>8</v>
      </c>
      <c r="N61" s="21">
        <v>8</v>
      </c>
      <c r="O61" s="21">
        <v>8</v>
      </c>
      <c r="P61" s="21">
        <v>8</v>
      </c>
      <c r="Q61" s="21">
        <v>8</v>
      </c>
      <c r="R61" s="21">
        <v>8</v>
      </c>
      <c r="S61" s="21">
        <v>8</v>
      </c>
      <c r="T61" s="21">
        <v>8</v>
      </c>
      <c r="U61" s="21">
        <v>8</v>
      </c>
      <c r="V61" s="30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</row>
    <row r="62" spans="1:27" ht="16.5" customHeight="1" x14ac:dyDescent="0.25">
      <c r="A62" s="40"/>
      <c r="B62" s="41"/>
      <c r="C62" s="42" t="s">
        <v>81</v>
      </c>
      <c r="D62" s="38"/>
      <c r="E62" s="37" t="s">
        <v>28</v>
      </c>
      <c r="F62" s="38"/>
      <c r="G62" s="21">
        <v>10</v>
      </c>
      <c r="H62" s="21">
        <v>10</v>
      </c>
      <c r="I62" s="21">
        <v>10</v>
      </c>
      <c r="J62" s="21">
        <v>10</v>
      </c>
      <c r="K62" s="21">
        <v>10</v>
      </c>
      <c r="L62" s="21">
        <v>10</v>
      </c>
      <c r="M62" s="21">
        <v>10</v>
      </c>
      <c r="N62" s="21">
        <v>10</v>
      </c>
      <c r="O62" s="21">
        <v>10</v>
      </c>
      <c r="P62" s="21">
        <v>10</v>
      </c>
      <c r="Q62" s="21">
        <v>10</v>
      </c>
      <c r="R62" s="21">
        <v>10</v>
      </c>
      <c r="S62" s="21">
        <v>10</v>
      </c>
      <c r="T62" s="21">
        <v>10</v>
      </c>
      <c r="U62" s="21">
        <v>10</v>
      </c>
      <c r="V62" s="21">
        <v>10</v>
      </c>
      <c r="W62" s="30">
        <v>0</v>
      </c>
      <c r="X62" s="21">
        <v>0</v>
      </c>
      <c r="Y62" s="21">
        <v>0</v>
      </c>
      <c r="Z62" s="21">
        <v>0</v>
      </c>
      <c r="AA62" s="21">
        <v>0</v>
      </c>
    </row>
    <row r="63" spans="1:27" ht="16.5" customHeight="1" x14ac:dyDescent="0.25">
      <c r="A63" s="40"/>
      <c r="B63" s="39" t="s">
        <v>82</v>
      </c>
      <c r="C63" s="42" t="s">
        <v>83</v>
      </c>
      <c r="D63" s="38"/>
      <c r="E63" s="37" t="s">
        <v>32</v>
      </c>
      <c r="F63" s="38"/>
      <c r="G63" s="21">
        <v>3</v>
      </c>
      <c r="H63" s="21">
        <v>3</v>
      </c>
      <c r="I63" s="21">
        <v>3</v>
      </c>
      <c r="J63" s="21">
        <v>3</v>
      </c>
      <c r="K63" s="21">
        <v>3</v>
      </c>
      <c r="L63" s="21">
        <v>3</v>
      </c>
      <c r="M63" s="21">
        <v>3</v>
      </c>
      <c r="N63" s="21">
        <v>3</v>
      </c>
      <c r="O63" s="21">
        <v>3</v>
      </c>
      <c r="P63" s="21">
        <v>3</v>
      </c>
      <c r="Q63" s="21">
        <v>3</v>
      </c>
      <c r="R63" s="21">
        <v>3</v>
      </c>
      <c r="S63" s="21">
        <v>3</v>
      </c>
      <c r="T63" s="21">
        <v>3</v>
      </c>
      <c r="U63" s="21">
        <v>3</v>
      </c>
      <c r="V63" s="21">
        <v>3</v>
      </c>
      <c r="W63" s="21">
        <v>3</v>
      </c>
      <c r="X63" s="30">
        <v>0</v>
      </c>
      <c r="Y63" s="21">
        <v>0</v>
      </c>
      <c r="Z63" s="21">
        <v>0</v>
      </c>
      <c r="AA63" s="21">
        <v>0</v>
      </c>
    </row>
    <row r="64" spans="1:27" ht="16.5" customHeight="1" x14ac:dyDescent="0.25">
      <c r="A64" s="40"/>
      <c r="B64" s="40"/>
      <c r="C64" s="42" t="s">
        <v>84</v>
      </c>
      <c r="D64" s="38"/>
      <c r="E64" s="37" t="s">
        <v>32</v>
      </c>
      <c r="F64" s="38"/>
      <c r="G64" s="21">
        <v>3</v>
      </c>
      <c r="H64" s="21">
        <v>3</v>
      </c>
      <c r="I64" s="21">
        <v>3</v>
      </c>
      <c r="J64" s="21">
        <v>3</v>
      </c>
      <c r="K64" s="21">
        <v>3</v>
      </c>
      <c r="L64" s="21">
        <v>3</v>
      </c>
      <c r="M64" s="21">
        <v>3</v>
      </c>
      <c r="N64" s="21">
        <v>3</v>
      </c>
      <c r="O64" s="21">
        <v>3</v>
      </c>
      <c r="P64" s="21">
        <v>3</v>
      </c>
      <c r="Q64" s="21">
        <v>3</v>
      </c>
      <c r="R64" s="21">
        <v>3</v>
      </c>
      <c r="S64" s="21">
        <v>3</v>
      </c>
      <c r="T64" s="21">
        <v>3</v>
      </c>
      <c r="U64" s="21">
        <v>3</v>
      </c>
      <c r="V64" s="21">
        <v>3</v>
      </c>
      <c r="W64" s="21">
        <v>3</v>
      </c>
      <c r="X64" s="30">
        <v>0</v>
      </c>
      <c r="Y64" s="21">
        <v>0</v>
      </c>
      <c r="Z64" s="21">
        <v>0</v>
      </c>
      <c r="AA64" s="21">
        <v>0</v>
      </c>
    </row>
    <row r="65" spans="1:27" ht="16.5" customHeight="1" x14ac:dyDescent="0.25">
      <c r="A65" s="40"/>
      <c r="B65" s="40"/>
      <c r="C65" s="42" t="s">
        <v>85</v>
      </c>
      <c r="D65" s="38"/>
      <c r="E65" s="37" t="s">
        <v>32</v>
      </c>
      <c r="F65" s="38"/>
      <c r="G65" s="21">
        <v>3</v>
      </c>
      <c r="H65" s="21">
        <v>3</v>
      </c>
      <c r="I65" s="21">
        <v>3</v>
      </c>
      <c r="J65" s="21">
        <v>3</v>
      </c>
      <c r="K65" s="21">
        <v>3</v>
      </c>
      <c r="L65" s="21">
        <v>3</v>
      </c>
      <c r="M65" s="21">
        <v>3</v>
      </c>
      <c r="N65" s="21">
        <v>3</v>
      </c>
      <c r="O65" s="21">
        <v>3</v>
      </c>
      <c r="P65" s="21">
        <v>3</v>
      </c>
      <c r="Q65" s="21">
        <v>3</v>
      </c>
      <c r="R65" s="21">
        <v>3</v>
      </c>
      <c r="S65" s="21">
        <v>3</v>
      </c>
      <c r="T65" s="21">
        <v>3</v>
      </c>
      <c r="U65" s="21">
        <v>3</v>
      </c>
      <c r="V65" s="21">
        <v>3</v>
      </c>
      <c r="W65" s="21">
        <v>3</v>
      </c>
      <c r="X65" s="30">
        <v>0</v>
      </c>
      <c r="Y65" s="21">
        <v>0</v>
      </c>
      <c r="Z65" s="21">
        <v>0</v>
      </c>
      <c r="AA65" s="21">
        <v>0</v>
      </c>
    </row>
    <row r="66" spans="1:27" ht="16.5" customHeight="1" x14ac:dyDescent="0.25">
      <c r="A66" s="40"/>
      <c r="B66" s="40"/>
      <c r="C66" s="42" t="s">
        <v>86</v>
      </c>
      <c r="D66" s="38"/>
      <c r="E66" s="37" t="s">
        <v>32</v>
      </c>
      <c r="F66" s="38"/>
      <c r="G66" s="21">
        <v>3</v>
      </c>
      <c r="H66" s="21">
        <v>3</v>
      </c>
      <c r="I66" s="21">
        <v>3</v>
      </c>
      <c r="J66" s="21">
        <v>3</v>
      </c>
      <c r="K66" s="21">
        <v>3</v>
      </c>
      <c r="L66" s="21">
        <v>3</v>
      </c>
      <c r="M66" s="21">
        <v>3</v>
      </c>
      <c r="N66" s="21">
        <v>3</v>
      </c>
      <c r="O66" s="21">
        <v>3</v>
      </c>
      <c r="P66" s="21">
        <v>3</v>
      </c>
      <c r="Q66" s="21">
        <v>3</v>
      </c>
      <c r="R66" s="21">
        <v>3</v>
      </c>
      <c r="S66" s="21">
        <v>3</v>
      </c>
      <c r="T66" s="21">
        <v>3</v>
      </c>
      <c r="U66" s="21">
        <v>3</v>
      </c>
      <c r="V66" s="21">
        <v>3</v>
      </c>
      <c r="W66" s="21">
        <v>3</v>
      </c>
      <c r="X66" s="30">
        <v>0</v>
      </c>
      <c r="Y66" s="21">
        <v>0</v>
      </c>
      <c r="Z66" s="21">
        <v>0</v>
      </c>
      <c r="AA66" s="21">
        <v>0</v>
      </c>
    </row>
    <row r="67" spans="1:27" ht="16.5" customHeight="1" x14ac:dyDescent="0.25">
      <c r="A67" s="40"/>
      <c r="B67" s="40"/>
      <c r="C67" s="42" t="s">
        <v>87</v>
      </c>
      <c r="D67" s="38"/>
      <c r="E67" s="37" t="s">
        <v>32</v>
      </c>
      <c r="F67" s="38"/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30">
        <v>0</v>
      </c>
      <c r="Y67" s="21">
        <v>0</v>
      </c>
      <c r="Z67" s="21">
        <v>0</v>
      </c>
      <c r="AA67" s="21">
        <v>0</v>
      </c>
    </row>
    <row r="68" spans="1:27" ht="16.5" customHeight="1" x14ac:dyDescent="0.25">
      <c r="A68" s="40"/>
      <c r="B68" s="40"/>
      <c r="C68" s="42" t="s">
        <v>88</v>
      </c>
      <c r="D68" s="38"/>
      <c r="E68" s="37" t="s">
        <v>32</v>
      </c>
      <c r="F68" s="38"/>
      <c r="G68" s="21">
        <v>3</v>
      </c>
      <c r="H68" s="21">
        <v>3</v>
      </c>
      <c r="I68" s="21">
        <v>3</v>
      </c>
      <c r="J68" s="21">
        <v>3</v>
      </c>
      <c r="K68" s="21">
        <v>3</v>
      </c>
      <c r="L68" s="21">
        <v>3</v>
      </c>
      <c r="M68" s="21">
        <v>3</v>
      </c>
      <c r="N68" s="21">
        <v>3</v>
      </c>
      <c r="O68" s="21">
        <v>3</v>
      </c>
      <c r="P68" s="21">
        <v>3</v>
      </c>
      <c r="Q68" s="21">
        <v>3</v>
      </c>
      <c r="R68" s="21">
        <v>3</v>
      </c>
      <c r="S68" s="21">
        <v>3</v>
      </c>
      <c r="T68" s="21">
        <v>3</v>
      </c>
      <c r="U68" s="21">
        <v>3</v>
      </c>
      <c r="V68" s="21">
        <v>3</v>
      </c>
      <c r="W68" s="21">
        <v>3</v>
      </c>
      <c r="X68" s="30">
        <v>0</v>
      </c>
      <c r="Y68" s="21">
        <v>0</v>
      </c>
      <c r="Z68" s="21">
        <v>0</v>
      </c>
      <c r="AA68" s="21">
        <v>0</v>
      </c>
    </row>
    <row r="69" spans="1:27" ht="16.5" customHeight="1" x14ac:dyDescent="0.25">
      <c r="A69" s="40"/>
      <c r="B69" s="40"/>
      <c r="C69" s="42" t="s">
        <v>89</v>
      </c>
      <c r="D69" s="38"/>
      <c r="E69" s="37" t="s">
        <v>32</v>
      </c>
      <c r="F69" s="38"/>
      <c r="G69" s="21">
        <v>3</v>
      </c>
      <c r="H69" s="21">
        <v>3</v>
      </c>
      <c r="I69" s="21">
        <v>3</v>
      </c>
      <c r="J69" s="21">
        <v>3</v>
      </c>
      <c r="K69" s="21">
        <v>3</v>
      </c>
      <c r="L69" s="21">
        <v>3</v>
      </c>
      <c r="M69" s="21">
        <v>3</v>
      </c>
      <c r="N69" s="21">
        <v>3</v>
      </c>
      <c r="O69" s="21">
        <v>3</v>
      </c>
      <c r="P69" s="21">
        <v>3</v>
      </c>
      <c r="Q69" s="21">
        <v>3</v>
      </c>
      <c r="R69" s="21">
        <v>3</v>
      </c>
      <c r="S69" s="21">
        <v>3</v>
      </c>
      <c r="T69" s="21">
        <v>3</v>
      </c>
      <c r="U69" s="21">
        <v>3</v>
      </c>
      <c r="V69" s="21">
        <v>3</v>
      </c>
      <c r="W69" s="21">
        <v>3</v>
      </c>
      <c r="X69" s="30">
        <v>0</v>
      </c>
      <c r="Y69" s="21">
        <v>0</v>
      </c>
      <c r="Z69" s="21">
        <v>0</v>
      </c>
      <c r="AA69" s="21">
        <v>0</v>
      </c>
    </row>
    <row r="70" spans="1:27" ht="16.5" customHeight="1" x14ac:dyDescent="0.25">
      <c r="A70" s="40"/>
      <c r="B70" s="40"/>
      <c r="C70" s="42" t="s">
        <v>90</v>
      </c>
      <c r="D70" s="38"/>
      <c r="E70" s="37" t="s">
        <v>32</v>
      </c>
      <c r="F70" s="38"/>
      <c r="G70" s="21">
        <v>3</v>
      </c>
      <c r="H70" s="21">
        <v>3</v>
      </c>
      <c r="I70" s="21">
        <v>3</v>
      </c>
      <c r="J70" s="21">
        <v>3</v>
      </c>
      <c r="K70" s="21">
        <v>3</v>
      </c>
      <c r="L70" s="21">
        <v>3</v>
      </c>
      <c r="M70" s="21">
        <v>3</v>
      </c>
      <c r="N70" s="21">
        <v>3</v>
      </c>
      <c r="O70" s="21">
        <v>3</v>
      </c>
      <c r="P70" s="21">
        <v>3</v>
      </c>
      <c r="Q70" s="21">
        <v>3</v>
      </c>
      <c r="R70" s="21">
        <v>3</v>
      </c>
      <c r="S70" s="21">
        <v>3</v>
      </c>
      <c r="T70" s="21">
        <v>3</v>
      </c>
      <c r="U70" s="21">
        <v>3</v>
      </c>
      <c r="V70" s="21">
        <v>3</v>
      </c>
      <c r="W70" s="21">
        <v>3</v>
      </c>
      <c r="X70" s="30">
        <v>0</v>
      </c>
      <c r="Y70" s="21">
        <v>0</v>
      </c>
      <c r="Z70" s="21">
        <v>0</v>
      </c>
      <c r="AA70" s="21">
        <v>0</v>
      </c>
    </row>
    <row r="71" spans="1:27" ht="16.5" customHeight="1" x14ac:dyDescent="0.25">
      <c r="A71" s="40"/>
      <c r="B71" s="40"/>
      <c r="C71" s="42" t="s">
        <v>91</v>
      </c>
      <c r="D71" s="38"/>
      <c r="E71" s="37" t="s">
        <v>32</v>
      </c>
      <c r="F71" s="38"/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30">
        <v>0</v>
      </c>
      <c r="Y71" s="21">
        <v>0</v>
      </c>
      <c r="Z71" s="21">
        <v>0</v>
      </c>
      <c r="AA71" s="21">
        <v>0</v>
      </c>
    </row>
    <row r="72" spans="1:27" ht="16.5" customHeight="1" x14ac:dyDescent="0.25">
      <c r="A72" s="40"/>
      <c r="B72" s="41"/>
      <c r="C72" s="42" t="s">
        <v>92</v>
      </c>
      <c r="D72" s="38"/>
      <c r="E72" s="37" t="s">
        <v>32</v>
      </c>
      <c r="F72" s="38"/>
      <c r="G72" s="21">
        <v>4</v>
      </c>
      <c r="H72" s="21">
        <v>4</v>
      </c>
      <c r="I72" s="21">
        <v>4</v>
      </c>
      <c r="J72" s="21">
        <v>4</v>
      </c>
      <c r="K72" s="21">
        <v>4</v>
      </c>
      <c r="L72" s="21">
        <v>4</v>
      </c>
      <c r="M72" s="21">
        <v>4</v>
      </c>
      <c r="N72" s="21">
        <v>4</v>
      </c>
      <c r="O72" s="21">
        <v>4</v>
      </c>
      <c r="P72" s="21">
        <v>4</v>
      </c>
      <c r="Q72" s="21">
        <v>4</v>
      </c>
      <c r="R72" s="21">
        <v>4</v>
      </c>
      <c r="S72" s="21">
        <v>4</v>
      </c>
      <c r="T72" s="21">
        <v>4</v>
      </c>
      <c r="U72" s="21">
        <v>4</v>
      </c>
      <c r="V72" s="21">
        <v>4</v>
      </c>
      <c r="W72" s="21">
        <v>4</v>
      </c>
      <c r="X72" s="30">
        <v>0</v>
      </c>
      <c r="Y72" s="21">
        <v>0</v>
      </c>
      <c r="Z72" s="21">
        <v>0</v>
      </c>
      <c r="AA72" s="21">
        <v>0</v>
      </c>
    </row>
    <row r="73" spans="1:27" ht="16.5" customHeight="1" x14ac:dyDescent="0.25">
      <c r="A73" s="40"/>
      <c r="B73" s="39" t="s">
        <v>93</v>
      </c>
      <c r="C73" s="42" t="s">
        <v>94</v>
      </c>
      <c r="D73" s="38"/>
      <c r="E73" s="37" t="s">
        <v>95</v>
      </c>
      <c r="F73" s="38"/>
      <c r="G73" s="21">
        <v>2</v>
      </c>
      <c r="H73" s="21">
        <v>2</v>
      </c>
      <c r="I73" s="21">
        <v>2</v>
      </c>
      <c r="J73" s="21">
        <v>2</v>
      </c>
      <c r="K73" s="21">
        <v>2</v>
      </c>
      <c r="L73" s="21">
        <v>2</v>
      </c>
      <c r="M73" s="21">
        <v>2</v>
      </c>
      <c r="N73" s="21">
        <v>2</v>
      </c>
      <c r="O73" s="21">
        <v>2</v>
      </c>
      <c r="P73" s="21">
        <v>2</v>
      </c>
      <c r="Q73" s="21">
        <v>2</v>
      </c>
      <c r="R73" s="21">
        <v>2</v>
      </c>
      <c r="S73" s="21">
        <v>2</v>
      </c>
      <c r="T73" s="21">
        <v>2</v>
      </c>
      <c r="U73" s="21">
        <v>2</v>
      </c>
      <c r="V73" s="21">
        <v>2</v>
      </c>
      <c r="W73" s="21">
        <v>2</v>
      </c>
      <c r="X73" s="21">
        <v>2</v>
      </c>
      <c r="Y73" s="30">
        <v>0</v>
      </c>
      <c r="Z73" s="21">
        <v>0</v>
      </c>
      <c r="AA73" s="21">
        <v>0</v>
      </c>
    </row>
    <row r="74" spans="1:27" ht="16.5" customHeight="1" x14ac:dyDescent="0.25">
      <c r="A74" s="40"/>
      <c r="B74" s="40"/>
      <c r="C74" s="42" t="s">
        <v>96</v>
      </c>
      <c r="D74" s="38"/>
      <c r="E74" s="37" t="s">
        <v>95</v>
      </c>
      <c r="F74" s="38"/>
      <c r="G74" s="21">
        <v>2</v>
      </c>
      <c r="H74" s="21">
        <v>2</v>
      </c>
      <c r="I74" s="21">
        <v>2</v>
      </c>
      <c r="J74" s="21">
        <v>2</v>
      </c>
      <c r="K74" s="21">
        <v>2</v>
      </c>
      <c r="L74" s="21">
        <v>2</v>
      </c>
      <c r="M74" s="21">
        <v>2</v>
      </c>
      <c r="N74" s="21">
        <v>2</v>
      </c>
      <c r="O74" s="21">
        <v>2</v>
      </c>
      <c r="P74" s="21">
        <v>2</v>
      </c>
      <c r="Q74" s="21">
        <v>2</v>
      </c>
      <c r="R74" s="21">
        <v>2</v>
      </c>
      <c r="S74" s="21">
        <v>2</v>
      </c>
      <c r="T74" s="21">
        <v>2</v>
      </c>
      <c r="U74" s="21">
        <v>2</v>
      </c>
      <c r="V74" s="21">
        <v>2</v>
      </c>
      <c r="W74" s="21">
        <v>2</v>
      </c>
      <c r="X74" s="21">
        <v>2</v>
      </c>
      <c r="Y74" s="30">
        <v>0</v>
      </c>
      <c r="Z74" s="21">
        <v>0</v>
      </c>
      <c r="AA74" s="21">
        <v>0</v>
      </c>
    </row>
    <row r="75" spans="1:27" ht="16.5" customHeight="1" x14ac:dyDescent="0.25">
      <c r="A75" s="40"/>
      <c r="B75" s="40"/>
      <c r="C75" s="42" t="s">
        <v>97</v>
      </c>
      <c r="D75" s="38"/>
      <c r="E75" s="37" t="s">
        <v>95</v>
      </c>
      <c r="F75" s="38"/>
      <c r="G75" s="21">
        <v>2</v>
      </c>
      <c r="H75" s="21">
        <v>2</v>
      </c>
      <c r="I75" s="21">
        <v>2</v>
      </c>
      <c r="J75" s="21">
        <v>2</v>
      </c>
      <c r="K75" s="21">
        <v>2</v>
      </c>
      <c r="L75" s="21">
        <v>2</v>
      </c>
      <c r="M75" s="21">
        <v>2</v>
      </c>
      <c r="N75" s="21">
        <v>2</v>
      </c>
      <c r="O75" s="21">
        <v>2</v>
      </c>
      <c r="P75" s="21">
        <v>2</v>
      </c>
      <c r="Q75" s="21">
        <v>2</v>
      </c>
      <c r="R75" s="21">
        <v>2</v>
      </c>
      <c r="S75" s="21">
        <v>2</v>
      </c>
      <c r="T75" s="21">
        <v>2</v>
      </c>
      <c r="U75" s="21">
        <v>2</v>
      </c>
      <c r="V75" s="21">
        <v>2</v>
      </c>
      <c r="W75" s="21">
        <v>2</v>
      </c>
      <c r="X75" s="21">
        <v>2</v>
      </c>
      <c r="Y75" s="30">
        <v>0</v>
      </c>
      <c r="Z75" s="21">
        <v>0</v>
      </c>
      <c r="AA75" s="21">
        <v>0</v>
      </c>
    </row>
    <row r="76" spans="1:27" ht="16.5" customHeight="1" x14ac:dyDescent="0.25">
      <c r="A76" s="40"/>
      <c r="B76" s="40"/>
      <c r="C76" s="42" t="s">
        <v>98</v>
      </c>
      <c r="D76" s="38"/>
      <c r="E76" s="37" t="s">
        <v>95</v>
      </c>
      <c r="F76" s="38"/>
      <c r="G76" s="21">
        <v>2</v>
      </c>
      <c r="H76" s="21">
        <v>2</v>
      </c>
      <c r="I76" s="21">
        <v>2</v>
      </c>
      <c r="J76" s="21">
        <v>2</v>
      </c>
      <c r="K76" s="21">
        <v>2</v>
      </c>
      <c r="L76" s="21">
        <v>2</v>
      </c>
      <c r="M76" s="21">
        <v>2</v>
      </c>
      <c r="N76" s="21">
        <v>2</v>
      </c>
      <c r="O76" s="21">
        <v>2</v>
      </c>
      <c r="P76" s="21">
        <v>2</v>
      </c>
      <c r="Q76" s="21">
        <v>2</v>
      </c>
      <c r="R76" s="21">
        <v>2</v>
      </c>
      <c r="S76" s="21">
        <v>2</v>
      </c>
      <c r="T76" s="21">
        <v>2</v>
      </c>
      <c r="U76" s="21">
        <v>2</v>
      </c>
      <c r="V76" s="21">
        <v>2</v>
      </c>
      <c r="W76" s="21">
        <v>2</v>
      </c>
      <c r="X76" s="21">
        <v>2</v>
      </c>
      <c r="Y76" s="30">
        <v>0</v>
      </c>
      <c r="Z76" s="21">
        <v>0</v>
      </c>
      <c r="AA76" s="21">
        <v>0</v>
      </c>
    </row>
    <row r="77" spans="1:27" ht="16.5" customHeight="1" x14ac:dyDescent="0.25">
      <c r="A77" s="40"/>
      <c r="B77" s="40"/>
      <c r="C77" s="42" t="s">
        <v>99</v>
      </c>
      <c r="D77" s="38"/>
      <c r="E77" s="37" t="s">
        <v>95</v>
      </c>
      <c r="F77" s="38"/>
      <c r="G77" s="21">
        <v>2</v>
      </c>
      <c r="H77" s="21">
        <v>2</v>
      </c>
      <c r="I77" s="21">
        <v>2</v>
      </c>
      <c r="J77" s="21">
        <v>2</v>
      </c>
      <c r="K77" s="21">
        <v>2</v>
      </c>
      <c r="L77" s="21">
        <v>2</v>
      </c>
      <c r="M77" s="21">
        <v>2</v>
      </c>
      <c r="N77" s="21">
        <v>2</v>
      </c>
      <c r="O77" s="21">
        <v>2</v>
      </c>
      <c r="P77" s="21">
        <v>2</v>
      </c>
      <c r="Q77" s="21">
        <v>2</v>
      </c>
      <c r="R77" s="21">
        <v>2</v>
      </c>
      <c r="S77" s="21">
        <v>2</v>
      </c>
      <c r="T77" s="21">
        <v>2</v>
      </c>
      <c r="U77" s="21">
        <v>2</v>
      </c>
      <c r="V77" s="21">
        <v>2</v>
      </c>
      <c r="W77" s="21">
        <v>2</v>
      </c>
      <c r="X77" s="21">
        <v>2</v>
      </c>
      <c r="Y77" s="30">
        <v>0</v>
      </c>
      <c r="Z77" s="21">
        <v>0</v>
      </c>
      <c r="AA77" s="21">
        <v>0</v>
      </c>
    </row>
    <row r="78" spans="1:27" ht="16.5" customHeight="1" x14ac:dyDescent="0.25">
      <c r="A78" s="40"/>
      <c r="B78" s="40"/>
      <c r="C78" s="42" t="s">
        <v>100</v>
      </c>
      <c r="D78" s="38"/>
      <c r="E78" s="37" t="s">
        <v>95</v>
      </c>
      <c r="F78" s="38"/>
      <c r="G78" s="21">
        <v>2</v>
      </c>
      <c r="H78" s="21">
        <v>2</v>
      </c>
      <c r="I78" s="21">
        <v>2</v>
      </c>
      <c r="J78" s="21">
        <v>2</v>
      </c>
      <c r="K78" s="21">
        <v>2</v>
      </c>
      <c r="L78" s="21">
        <v>2</v>
      </c>
      <c r="M78" s="21">
        <v>2</v>
      </c>
      <c r="N78" s="21">
        <v>2</v>
      </c>
      <c r="O78" s="21">
        <v>2</v>
      </c>
      <c r="P78" s="21">
        <v>2</v>
      </c>
      <c r="Q78" s="21">
        <v>2</v>
      </c>
      <c r="R78" s="21">
        <v>2</v>
      </c>
      <c r="S78" s="21">
        <v>2</v>
      </c>
      <c r="T78" s="21">
        <v>2</v>
      </c>
      <c r="U78" s="21">
        <v>2</v>
      </c>
      <c r="V78" s="21">
        <v>2</v>
      </c>
      <c r="W78" s="21">
        <v>2</v>
      </c>
      <c r="X78" s="21">
        <v>2</v>
      </c>
      <c r="Y78" s="30">
        <v>0</v>
      </c>
      <c r="Z78" s="21">
        <v>0</v>
      </c>
      <c r="AA78" s="21">
        <v>0</v>
      </c>
    </row>
    <row r="79" spans="1:27" ht="16.5" customHeight="1" x14ac:dyDescent="0.25">
      <c r="A79" s="40"/>
      <c r="B79" s="40"/>
      <c r="C79" s="42" t="s">
        <v>101</v>
      </c>
      <c r="D79" s="38"/>
      <c r="E79" s="37" t="s">
        <v>95</v>
      </c>
      <c r="F79" s="38"/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30">
        <v>0</v>
      </c>
      <c r="Z79" s="21">
        <v>0</v>
      </c>
      <c r="AA79" s="21">
        <v>0</v>
      </c>
    </row>
    <row r="80" spans="1:27" ht="16.5" customHeight="1" x14ac:dyDescent="0.25">
      <c r="A80" s="40"/>
      <c r="B80" s="40"/>
      <c r="C80" s="42" t="s">
        <v>102</v>
      </c>
      <c r="D80" s="38"/>
      <c r="E80" s="37" t="s">
        <v>95</v>
      </c>
      <c r="F80" s="38"/>
      <c r="G80" s="21">
        <v>2</v>
      </c>
      <c r="H80" s="21">
        <v>2</v>
      </c>
      <c r="I80" s="21">
        <v>2</v>
      </c>
      <c r="J80" s="21">
        <v>2</v>
      </c>
      <c r="K80" s="21">
        <v>2</v>
      </c>
      <c r="L80" s="21">
        <v>2</v>
      </c>
      <c r="M80" s="21">
        <v>2</v>
      </c>
      <c r="N80" s="21">
        <v>2</v>
      </c>
      <c r="O80" s="21">
        <v>2</v>
      </c>
      <c r="P80" s="21">
        <v>2</v>
      </c>
      <c r="Q80" s="21">
        <v>2</v>
      </c>
      <c r="R80" s="21">
        <v>2</v>
      </c>
      <c r="S80" s="21">
        <v>2</v>
      </c>
      <c r="T80" s="21">
        <v>2</v>
      </c>
      <c r="U80" s="21">
        <v>2</v>
      </c>
      <c r="V80" s="21">
        <v>2</v>
      </c>
      <c r="W80" s="21">
        <v>2</v>
      </c>
      <c r="X80" s="21">
        <v>2</v>
      </c>
      <c r="Y80" s="30">
        <v>0</v>
      </c>
      <c r="Z80" s="21">
        <v>0</v>
      </c>
      <c r="AA80" s="21">
        <v>0</v>
      </c>
    </row>
    <row r="81" spans="1:28" ht="16.5" customHeight="1" x14ac:dyDescent="0.25">
      <c r="A81" s="40"/>
      <c r="B81" s="40"/>
      <c r="C81" s="42" t="s">
        <v>103</v>
      </c>
      <c r="D81" s="38"/>
      <c r="E81" s="37" t="s">
        <v>95</v>
      </c>
      <c r="F81" s="38"/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30">
        <v>0</v>
      </c>
      <c r="Z81" s="21">
        <v>0</v>
      </c>
      <c r="AA81" s="21">
        <v>0</v>
      </c>
    </row>
    <row r="82" spans="1:28" ht="16.5" customHeight="1" x14ac:dyDescent="0.25">
      <c r="A82" s="40"/>
      <c r="B82" s="41"/>
      <c r="C82" s="42" t="s">
        <v>104</v>
      </c>
      <c r="D82" s="38"/>
      <c r="E82" s="37" t="s">
        <v>95</v>
      </c>
      <c r="F82" s="38"/>
      <c r="G82" s="21">
        <v>3</v>
      </c>
      <c r="H82" s="21">
        <v>3</v>
      </c>
      <c r="I82" s="21">
        <v>3</v>
      </c>
      <c r="J82" s="21">
        <v>3</v>
      </c>
      <c r="K82" s="21">
        <v>3</v>
      </c>
      <c r="L82" s="21">
        <v>3</v>
      </c>
      <c r="M82" s="21">
        <v>3</v>
      </c>
      <c r="N82" s="21">
        <v>3</v>
      </c>
      <c r="O82" s="21">
        <v>3</v>
      </c>
      <c r="P82" s="21">
        <v>3</v>
      </c>
      <c r="Q82" s="21">
        <v>3</v>
      </c>
      <c r="R82" s="21">
        <v>3</v>
      </c>
      <c r="S82" s="21">
        <v>3</v>
      </c>
      <c r="T82" s="21">
        <v>3</v>
      </c>
      <c r="U82" s="21">
        <v>3</v>
      </c>
      <c r="V82" s="21">
        <v>3</v>
      </c>
      <c r="W82" s="21">
        <v>3</v>
      </c>
      <c r="X82" s="21">
        <v>3</v>
      </c>
      <c r="Y82" s="30">
        <v>0</v>
      </c>
      <c r="Z82" s="21">
        <v>0</v>
      </c>
      <c r="AA82" s="21">
        <v>0</v>
      </c>
    </row>
    <row r="83" spans="1:28" ht="16.5" customHeight="1" x14ac:dyDescent="0.25">
      <c r="A83" s="40"/>
      <c r="B83" s="39" t="s">
        <v>105</v>
      </c>
      <c r="C83" s="42" t="s">
        <v>106</v>
      </c>
      <c r="D83" s="38"/>
      <c r="E83" s="37" t="s">
        <v>32</v>
      </c>
      <c r="F83" s="38"/>
      <c r="G83" s="21">
        <v>2</v>
      </c>
      <c r="H83" s="21">
        <v>2</v>
      </c>
      <c r="I83" s="21">
        <v>2</v>
      </c>
      <c r="J83" s="21">
        <v>2</v>
      </c>
      <c r="K83" s="21">
        <v>2</v>
      </c>
      <c r="L83" s="21">
        <v>2</v>
      </c>
      <c r="M83" s="21">
        <v>2</v>
      </c>
      <c r="N83" s="21">
        <v>2</v>
      </c>
      <c r="O83" s="21">
        <v>2</v>
      </c>
      <c r="P83" s="21">
        <v>2</v>
      </c>
      <c r="Q83" s="21">
        <v>2</v>
      </c>
      <c r="R83" s="21">
        <v>2</v>
      </c>
      <c r="S83" s="21">
        <v>2</v>
      </c>
      <c r="T83" s="21">
        <v>2</v>
      </c>
      <c r="U83" s="21">
        <v>2</v>
      </c>
      <c r="V83" s="21">
        <v>2</v>
      </c>
      <c r="W83" s="21">
        <v>2</v>
      </c>
      <c r="X83" s="21">
        <v>2</v>
      </c>
      <c r="Y83" s="21">
        <v>2</v>
      </c>
      <c r="Z83" s="30">
        <v>0</v>
      </c>
      <c r="AA83" s="21">
        <v>0</v>
      </c>
    </row>
    <row r="84" spans="1:28" ht="16.5" customHeight="1" x14ac:dyDescent="0.25">
      <c r="A84" s="40"/>
      <c r="B84" s="40"/>
      <c r="C84" s="42" t="s">
        <v>107</v>
      </c>
      <c r="D84" s="38"/>
      <c r="E84" s="37" t="s">
        <v>32</v>
      </c>
      <c r="F84" s="38"/>
      <c r="G84" s="21">
        <v>2</v>
      </c>
      <c r="H84" s="21">
        <v>2</v>
      </c>
      <c r="I84" s="21">
        <v>2</v>
      </c>
      <c r="J84" s="21">
        <v>2</v>
      </c>
      <c r="K84" s="21">
        <v>2</v>
      </c>
      <c r="L84" s="21">
        <v>2</v>
      </c>
      <c r="M84" s="21">
        <v>2</v>
      </c>
      <c r="N84" s="21">
        <v>2</v>
      </c>
      <c r="O84" s="21">
        <v>2</v>
      </c>
      <c r="P84" s="21">
        <v>2</v>
      </c>
      <c r="Q84" s="21">
        <v>2</v>
      </c>
      <c r="R84" s="21">
        <v>2</v>
      </c>
      <c r="S84" s="21">
        <v>2</v>
      </c>
      <c r="T84" s="21">
        <v>2</v>
      </c>
      <c r="U84" s="21">
        <v>2</v>
      </c>
      <c r="V84" s="21">
        <v>2</v>
      </c>
      <c r="W84" s="21">
        <v>2</v>
      </c>
      <c r="X84" s="21">
        <v>2</v>
      </c>
      <c r="Y84" s="21">
        <v>2</v>
      </c>
      <c r="Z84" s="30">
        <v>0</v>
      </c>
      <c r="AA84" s="21">
        <v>0</v>
      </c>
    </row>
    <row r="85" spans="1:28" ht="16.5" customHeight="1" x14ac:dyDescent="0.25">
      <c r="A85" s="40"/>
      <c r="B85" s="40"/>
      <c r="C85" s="42" t="s">
        <v>108</v>
      </c>
      <c r="D85" s="38"/>
      <c r="E85" s="37" t="s">
        <v>32</v>
      </c>
      <c r="F85" s="38"/>
      <c r="G85" s="21">
        <v>2</v>
      </c>
      <c r="H85" s="21">
        <v>2</v>
      </c>
      <c r="I85" s="21">
        <v>2</v>
      </c>
      <c r="J85" s="21">
        <v>2</v>
      </c>
      <c r="K85" s="21">
        <v>2</v>
      </c>
      <c r="L85" s="21">
        <v>2</v>
      </c>
      <c r="M85" s="21">
        <v>2</v>
      </c>
      <c r="N85" s="21">
        <v>2</v>
      </c>
      <c r="O85" s="21">
        <v>2</v>
      </c>
      <c r="P85" s="21">
        <v>2</v>
      </c>
      <c r="Q85" s="21">
        <v>2</v>
      </c>
      <c r="R85" s="21">
        <v>2</v>
      </c>
      <c r="S85" s="21">
        <v>2</v>
      </c>
      <c r="T85" s="21">
        <v>2</v>
      </c>
      <c r="U85" s="21">
        <v>2</v>
      </c>
      <c r="V85" s="21">
        <v>2</v>
      </c>
      <c r="W85" s="21">
        <v>2</v>
      </c>
      <c r="X85" s="21">
        <v>2</v>
      </c>
      <c r="Y85" s="21">
        <v>2</v>
      </c>
      <c r="Z85" s="30">
        <v>0</v>
      </c>
      <c r="AA85" s="21">
        <v>0</v>
      </c>
    </row>
    <row r="86" spans="1:28" ht="16.5" customHeight="1" x14ac:dyDescent="0.25">
      <c r="A86" s="40"/>
      <c r="B86" s="40"/>
      <c r="C86" s="42" t="s">
        <v>109</v>
      </c>
      <c r="D86" s="38"/>
      <c r="E86" s="37" t="s">
        <v>32</v>
      </c>
      <c r="F86" s="38"/>
      <c r="G86" s="21">
        <v>2</v>
      </c>
      <c r="H86" s="21">
        <v>2</v>
      </c>
      <c r="I86" s="21">
        <v>2</v>
      </c>
      <c r="J86" s="21">
        <v>2</v>
      </c>
      <c r="K86" s="21">
        <v>2</v>
      </c>
      <c r="L86" s="21">
        <v>2</v>
      </c>
      <c r="M86" s="21">
        <v>2</v>
      </c>
      <c r="N86" s="21">
        <v>2</v>
      </c>
      <c r="O86" s="21">
        <v>2</v>
      </c>
      <c r="P86" s="21">
        <v>2</v>
      </c>
      <c r="Q86" s="21">
        <v>2</v>
      </c>
      <c r="R86" s="21">
        <v>2</v>
      </c>
      <c r="S86" s="21">
        <v>2</v>
      </c>
      <c r="T86" s="21">
        <v>2</v>
      </c>
      <c r="U86" s="21">
        <v>2</v>
      </c>
      <c r="V86" s="21">
        <v>2</v>
      </c>
      <c r="W86" s="21">
        <v>2</v>
      </c>
      <c r="X86" s="21">
        <v>2</v>
      </c>
      <c r="Y86" s="21">
        <v>2</v>
      </c>
      <c r="Z86" s="30">
        <v>0</v>
      </c>
      <c r="AA86" s="21">
        <v>0</v>
      </c>
    </row>
    <row r="87" spans="1:28" ht="16.5" customHeight="1" x14ac:dyDescent="0.25">
      <c r="A87" s="40"/>
      <c r="B87" s="40"/>
      <c r="C87" s="42" t="s">
        <v>110</v>
      </c>
      <c r="D87" s="38"/>
      <c r="E87" s="37" t="s">
        <v>32</v>
      </c>
      <c r="F87" s="38"/>
      <c r="G87" s="21">
        <v>2</v>
      </c>
      <c r="H87" s="21">
        <v>2</v>
      </c>
      <c r="I87" s="21">
        <v>2</v>
      </c>
      <c r="J87" s="21">
        <v>2</v>
      </c>
      <c r="K87" s="21">
        <v>2</v>
      </c>
      <c r="L87" s="21">
        <v>2</v>
      </c>
      <c r="M87" s="21">
        <v>2</v>
      </c>
      <c r="N87" s="21">
        <v>2</v>
      </c>
      <c r="O87" s="21">
        <v>2</v>
      </c>
      <c r="P87" s="21">
        <v>2</v>
      </c>
      <c r="Q87" s="21">
        <v>2</v>
      </c>
      <c r="R87" s="21">
        <v>2</v>
      </c>
      <c r="S87" s="21">
        <v>2</v>
      </c>
      <c r="T87" s="21">
        <v>2</v>
      </c>
      <c r="U87" s="21">
        <v>2</v>
      </c>
      <c r="V87" s="21">
        <v>2</v>
      </c>
      <c r="W87" s="21">
        <v>2</v>
      </c>
      <c r="X87" s="21">
        <v>2</v>
      </c>
      <c r="Y87" s="21">
        <v>2</v>
      </c>
      <c r="Z87" s="30">
        <v>0</v>
      </c>
      <c r="AA87" s="21">
        <v>0</v>
      </c>
    </row>
    <row r="88" spans="1:28" ht="16.5" customHeight="1" x14ac:dyDescent="0.25">
      <c r="A88" s="40"/>
      <c r="B88" s="40"/>
      <c r="C88" s="42" t="s">
        <v>111</v>
      </c>
      <c r="D88" s="38"/>
      <c r="E88" s="37" t="s">
        <v>32</v>
      </c>
      <c r="F88" s="38"/>
      <c r="G88" s="21">
        <v>2</v>
      </c>
      <c r="H88" s="21">
        <v>2</v>
      </c>
      <c r="I88" s="21">
        <v>2</v>
      </c>
      <c r="J88" s="21">
        <v>2</v>
      </c>
      <c r="K88" s="21">
        <v>2</v>
      </c>
      <c r="L88" s="21">
        <v>2</v>
      </c>
      <c r="M88" s="21">
        <v>2</v>
      </c>
      <c r="N88" s="21">
        <v>2</v>
      </c>
      <c r="O88" s="21">
        <v>2</v>
      </c>
      <c r="P88" s="21">
        <v>2</v>
      </c>
      <c r="Q88" s="21">
        <v>2</v>
      </c>
      <c r="R88" s="21">
        <v>2</v>
      </c>
      <c r="S88" s="21">
        <v>2</v>
      </c>
      <c r="T88" s="21">
        <v>2</v>
      </c>
      <c r="U88" s="21">
        <v>2</v>
      </c>
      <c r="V88" s="21">
        <v>2</v>
      </c>
      <c r="W88" s="21">
        <v>2</v>
      </c>
      <c r="X88" s="21">
        <v>2</v>
      </c>
      <c r="Y88" s="21">
        <v>2</v>
      </c>
      <c r="Z88" s="30">
        <v>0</v>
      </c>
      <c r="AA88" s="21">
        <v>0</v>
      </c>
    </row>
    <row r="89" spans="1:28" ht="16.5" customHeight="1" x14ac:dyDescent="0.25">
      <c r="A89" s="40"/>
      <c r="B89" s="40"/>
      <c r="C89" s="42" t="s">
        <v>112</v>
      </c>
      <c r="D89" s="38"/>
      <c r="E89" s="37" t="s">
        <v>32</v>
      </c>
      <c r="F89" s="38"/>
      <c r="G89" s="21">
        <v>2</v>
      </c>
      <c r="H89" s="21">
        <v>2</v>
      </c>
      <c r="I89" s="21">
        <v>2</v>
      </c>
      <c r="J89" s="21">
        <v>2</v>
      </c>
      <c r="K89" s="21">
        <v>2</v>
      </c>
      <c r="L89" s="21">
        <v>2</v>
      </c>
      <c r="M89" s="21">
        <v>2</v>
      </c>
      <c r="N89" s="21">
        <v>2</v>
      </c>
      <c r="O89" s="21">
        <v>2</v>
      </c>
      <c r="P89" s="21">
        <v>2</v>
      </c>
      <c r="Q89" s="21">
        <v>2</v>
      </c>
      <c r="R89" s="21">
        <v>2</v>
      </c>
      <c r="S89" s="21">
        <v>2</v>
      </c>
      <c r="T89" s="21">
        <v>2</v>
      </c>
      <c r="U89" s="21">
        <v>2</v>
      </c>
      <c r="V89" s="21">
        <v>2</v>
      </c>
      <c r="W89" s="21">
        <v>2</v>
      </c>
      <c r="X89" s="21">
        <v>2</v>
      </c>
      <c r="Y89" s="21">
        <v>2</v>
      </c>
      <c r="Z89" s="30">
        <v>0</v>
      </c>
      <c r="AA89" s="21">
        <v>0</v>
      </c>
    </row>
    <row r="90" spans="1:28" ht="16.5" customHeight="1" x14ac:dyDescent="0.25">
      <c r="A90" s="40"/>
      <c r="B90" s="40"/>
      <c r="C90" s="42" t="s">
        <v>113</v>
      </c>
      <c r="D90" s="38"/>
      <c r="E90" s="37" t="s">
        <v>32</v>
      </c>
      <c r="F90" s="38"/>
      <c r="G90" s="21">
        <v>2</v>
      </c>
      <c r="H90" s="21">
        <v>2</v>
      </c>
      <c r="I90" s="21">
        <v>2</v>
      </c>
      <c r="J90" s="21">
        <v>2</v>
      </c>
      <c r="K90" s="21">
        <v>2</v>
      </c>
      <c r="L90" s="21">
        <v>2</v>
      </c>
      <c r="M90" s="21">
        <v>2</v>
      </c>
      <c r="N90" s="21">
        <v>2</v>
      </c>
      <c r="O90" s="21">
        <v>2</v>
      </c>
      <c r="P90" s="21">
        <v>2</v>
      </c>
      <c r="Q90" s="21">
        <v>2</v>
      </c>
      <c r="R90" s="21">
        <v>2</v>
      </c>
      <c r="S90" s="21">
        <v>2</v>
      </c>
      <c r="T90" s="21">
        <v>2</v>
      </c>
      <c r="U90" s="21">
        <v>2</v>
      </c>
      <c r="V90" s="21">
        <v>2</v>
      </c>
      <c r="W90" s="21">
        <v>2</v>
      </c>
      <c r="X90" s="21">
        <v>2</v>
      </c>
      <c r="Y90" s="21">
        <v>2</v>
      </c>
      <c r="Z90" s="30">
        <v>0</v>
      </c>
      <c r="AA90" s="21">
        <v>0</v>
      </c>
    </row>
    <row r="91" spans="1:28" ht="16.5" customHeight="1" x14ac:dyDescent="0.25">
      <c r="A91" s="40"/>
      <c r="B91" s="40"/>
      <c r="C91" s="42" t="s">
        <v>114</v>
      </c>
      <c r="D91" s="38"/>
      <c r="E91" s="37" t="s">
        <v>32</v>
      </c>
      <c r="F91" s="38"/>
      <c r="G91" s="21">
        <v>2</v>
      </c>
      <c r="H91" s="21">
        <v>2</v>
      </c>
      <c r="I91" s="21">
        <v>2</v>
      </c>
      <c r="J91" s="21">
        <v>2</v>
      </c>
      <c r="K91" s="21">
        <v>2</v>
      </c>
      <c r="L91" s="21">
        <v>2</v>
      </c>
      <c r="M91" s="21">
        <v>2</v>
      </c>
      <c r="N91" s="21">
        <v>2</v>
      </c>
      <c r="O91" s="21">
        <v>2</v>
      </c>
      <c r="P91" s="21">
        <v>2</v>
      </c>
      <c r="Q91" s="21">
        <v>2</v>
      </c>
      <c r="R91" s="21">
        <v>2</v>
      </c>
      <c r="S91" s="21">
        <v>2</v>
      </c>
      <c r="T91" s="21">
        <v>2</v>
      </c>
      <c r="U91" s="21">
        <v>2</v>
      </c>
      <c r="V91" s="21">
        <v>2</v>
      </c>
      <c r="W91" s="21">
        <v>2</v>
      </c>
      <c r="X91" s="21">
        <v>2</v>
      </c>
      <c r="Y91" s="21">
        <v>2</v>
      </c>
      <c r="Z91" s="30">
        <v>0</v>
      </c>
      <c r="AA91" s="21">
        <v>0</v>
      </c>
    </row>
    <row r="92" spans="1:28" ht="16.5" customHeight="1" x14ac:dyDescent="0.25">
      <c r="A92" s="40"/>
      <c r="B92" s="41"/>
      <c r="C92" s="42" t="s">
        <v>115</v>
      </c>
      <c r="D92" s="38"/>
      <c r="E92" s="37" t="s">
        <v>32</v>
      </c>
      <c r="F92" s="38"/>
      <c r="G92" s="21">
        <v>3</v>
      </c>
      <c r="H92" s="21">
        <v>3</v>
      </c>
      <c r="I92" s="21">
        <v>3</v>
      </c>
      <c r="J92" s="21">
        <v>3</v>
      </c>
      <c r="K92" s="21">
        <v>3</v>
      </c>
      <c r="L92" s="21">
        <v>3</v>
      </c>
      <c r="M92" s="21">
        <v>3</v>
      </c>
      <c r="N92" s="21">
        <v>3</v>
      </c>
      <c r="O92" s="21">
        <v>3</v>
      </c>
      <c r="P92" s="21">
        <v>3</v>
      </c>
      <c r="Q92" s="21">
        <v>3</v>
      </c>
      <c r="R92" s="21">
        <v>3</v>
      </c>
      <c r="S92" s="21">
        <v>3</v>
      </c>
      <c r="T92" s="21">
        <v>3</v>
      </c>
      <c r="U92" s="21">
        <v>3</v>
      </c>
      <c r="V92" s="21">
        <v>3</v>
      </c>
      <c r="W92" s="21">
        <v>3</v>
      </c>
      <c r="X92" s="21">
        <v>3</v>
      </c>
      <c r="Y92" s="21">
        <v>3</v>
      </c>
      <c r="Z92" s="30">
        <v>0</v>
      </c>
      <c r="AA92" s="21">
        <v>0</v>
      </c>
    </row>
    <row r="93" spans="1:28" ht="16.5" customHeight="1" x14ac:dyDescent="0.25">
      <c r="A93" s="40"/>
      <c r="B93" s="57" t="s">
        <v>116</v>
      </c>
      <c r="C93" s="62" t="s">
        <v>117</v>
      </c>
      <c r="D93" s="38"/>
      <c r="E93" s="61" t="s">
        <v>28</v>
      </c>
      <c r="F93" s="38"/>
      <c r="G93" s="20">
        <v>5</v>
      </c>
      <c r="H93" s="20">
        <v>5</v>
      </c>
      <c r="I93" s="20">
        <v>5</v>
      </c>
      <c r="J93" s="20">
        <v>5</v>
      </c>
      <c r="K93" s="20">
        <v>5</v>
      </c>
      <c r="L93" s="20">
        <v>5</v>
      </c>
      <c r="M93" s="20">
        <v>5</v>
      </c>
      <c r="N93" s="20">
        <v>5</v>
      </c>
      <c r="O93" s="20">
        <v>5</v>
      </c>
      <c r="P93" s="20">
        <v>5</v>
      </c>
      <c r="Q93" s="20">
        <v>5</v>
      </c>
      <c r="R93" s="20">
        <v>5</v>
      </c>
      <c r="S93" s="20">
        <v>5</v>
      </c>
      <c r="T93" s="20">
        <v>5</v>
      </c>
      <c r="U93" s="20">
        <v>5</v>
      </c>
      <c r="V93" s="20">
        <v>5</v>
      </c>
      <c r="W93" s="20">
        <v>5</v>
      </c>
      <c r="X93" s="20">
        <v>5</v>
      </c>
      <c r="Y93" s="20">
        <v>5</v>
      </c>
      <c r="Z93" s="20">
        <v>5</v>
      </c>
      <c r="AA93" s="31">
        <v>0</v>
      </c>
    </row>
    <row r="94" spans="1:28" ht="16.5" customHeight="1" x14ac:dyDescent="0.25">
      <c r="A94" s="40"/>
      <c r="B94" s="41"/>
      <c r="C94" s="62" t="s">
        <v>118</v>
      </c>
      <c r="D94" s="38"/>
      <c r="E94" s="61" t="s">
        <v>28</v>
      </c>
      <c r="F94" s="38"/>
      <c r="G94" s="20">
        <v>5</v>
      </c>
      <c r="H94" s="20">
        <v>5</v>
      </c>
      <c r="I94" s="20">
        <v>5</v>
      </c>
      <c r="J94" s="20">
        <v>5</v>
      </c>
      <c r="K94" s="20">
        <v>5</v>
      </c>
      <c r="L94" s="20">
        <v>5</v>
      </c>
      <c r="M94" s="20">
        <v>5</v>
      </c>
      <c r="N94" s="20">
        <v>5</v>
      </c>
      <c r="O94" s="20">
        <v>5</v>
      </c>
      <c r="P94" s="20">
        <v>5</v>
      </c>
      <c r="Q94" s="20">
        <v>5</v>
      </c>
      <c r="R94" s="20">
        <v>5</v>
      </c>
      <c r="S94" s="20">
        <v>5</v>
      </c>
      <c r="T94" s="20">
        <v>5</v>
      </c>
      <c r="U94" s="20">
        <v>5</v>
      </c>
      <c r="V94" s="20">
        <v>5</v>
      </c>
      <c r="W94" s="20">
        <v>5</v>
      </c>
      <c r="X94" s="20">
        <v>5</v>
      </c>
      <c r="Y94" s="20">
        <v>5</v>
      </c>
      <c r="Z94" s="20">
        <v>5</v>
      </c>
      <c r="AA94" s="31">
        <v>0</v>
      </c>
    </row>
    <row r="95" spans="1:28" ht="16.5" customHeight="1" x14ac:dyDescent="0.25">
      <c r="A95" s="41"/>
      <c r="B95" s="63" t="s">
        <v>21</v>
      </c>
      <c r="C95" s="50"/>
      <c r="D95" s="38"/>
      <c r="E95" s="67" t="s">
        <v>15</v>
      </c>
      <c r="F95" s="38"/>
      <c r="G95" s="22">
        <f t="shared" ref="G95:AA95" si="0">SUM(G17:G94)</f>
        <v>317</v>
      </c>
      <c r="H95" s="20">
        <f t="shared" si="0"/>
        <v>307</v>
      </c>
      <c r="I95" s="20">
        <f t="shared" si="0"/>
        <v>299</v>
      </c>
      <c r="J95" s="20">
        <f t="shared" si="0"/>
        <v>291</v>
      </c>
      <c r="K95" s="20">
        <f t="shared" si="0"/>
        <v>283</v>
      </c>
      <c r="L95" s="20">
        <f t="shared" si="0"/>
        <v>268</v>
      </c>
      <c r="M95" s="20">
        <f t="shared" si="0"/>
        <v>260</v>
      </c>
      <c r="N95" s="20">
        <f t="shared" si="0"/>
        <v>252</v>
      </c>
      <c r="O95" s="20">
        <f t="shared" si="0"/>
        <v>237</v>
      </c>
      <c r="P95" s="20">
        <f t="shared" si="0"/>
        <v>223</v>
      </c>
      <c r="Q95" s="20">
        <f t="shared" si="0"/>
        <v>209</v>
      </c>
      <c r="R95" s="20">
        <f t="shared" si="0"/>
        <v>195</v>
      </c>
      <c r="S95" s="20">
        <f t="shared" si="0"/>
        <v>181</v>
      </c>
      <c r="T95" s="20">
        <f t="shared" si="0"/>
        <v>153</v>
      </c>
      <c r="U95" s="20">
        <f t="shared" si="0"/>
        <v>125</v>
      </c>
      <c r="V95" s="20">
        <f t="shared" si="0"/>
        <v>93</v>
      </c>
      <c r="W95" s="20">
        <f t="shared" si="0"/>
        <v>83</v>
      </c>
      <c r="X95" s="20">
        <f t="shared" si="0"/>
        <v>52</v>
      </c>
      <c r="Y95" s="20">
        <f t="shared" si="0"/>
        <v>31</v>
      </c>
      <c r="Z95" s="20">
        <f t="shared" si="0"/>
        <v>10</v>
      </c>
      <c r="AA95" s="20">
        <f t="shared" si="0"/>
        <v>0</v>
      </c>
    </row>
    <row r="96" spans="1:28" ht="16.5" customHeight="1" x14ac:dyDescent="0.25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16.5" customHeight="1" x14ac:dyDescent="0.25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26.25" customHeight="1" x14ac:dyDescent="0.25">
      <c r="A98" s="49" t="s">
        <v>119</v>
      </c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38"/>
    </row>
    <row r="99" spans="1:28" ht="48" customHeight="1" x14ac:dyDescent="0.25">
      <c r="A99" s="25" t="s">
        <v>23</v>
      </c>
      <c r="B99" s="25" t="s">
        <v>24</v>
      </c>
      <c r="C99" s="52" t="s">
        <v>25</v>
      </c>
      <c r="D99" s="53"/>
      <c r="E99" s="52" t="s">
        <v>26</v>
      </c>
      <c r="F99" s="53"/>
      <c r="G99" s="26" t="s">
        <v>14</v>
      </c>
      <c r="H99" s="28" t="s">
        <v>15</v>
      </c>
      <c r="I99" s="27">
        <v>46293</v>
      </c>
      <c r="J99" s="27">
        <v>46294</v>
      </c>
      <c r="K99" s="27">
        <v>46295</v>
      </c>
      <c r="L99" s="27">
        <v>46296</v>
      </c>
      <c r="M99" s="27">
        <v>46297</v>
      </c>
      <c r="N99" s="27">
        <v>46298</v>
      </c>
      <c r="O99" s="27">
        <v>46299</v>
      </c>
      <c r="P99" s="27">
        <v>46300</v>
      </c>
      <c r="Q99" s="27">
        <v>46301</v>
      </c>
      <c r="R99" s="27">
        <v>46302</v>
      </c>
      <c r="S99" s="27">
        <v>46303</v>
      </c>
      <c r="T99" s="27">
        <v>46304</v>
      </c>
      <c r="U99" s="27">
        <v>46305</v>
      </c>
      <c r="V99" s="27">
        <v>46306</v>
      </c>
      <c r="W99" s="27">
        <v>46307</v>
      </c>
      <c r="X99" s="27">
        <v>46308</v>
      </c>
      <c r="Y99" s="27">
        <v>46309</v>
      </c>
      <c r="Z99" s="27">
        <v>46310</v>
      </c>
      <c r="AA99" s="27">
        <v>46311</v>
      </c>
      <c r="AB99" s="27">
        <v>46312</v>
      </c>
    </row>
    <row r="100" spans="1:28" ht="16.5" customHeight="1" x14ac:dyDescent="0.25">
      <c r="A100" s="54" t="s">
        <v>4</v>
      </c>
      <c r="B100" s="47" t="s">
        <v>27</v>
      </c>
      <c r="C100" s="51"/>
      <c r="D100" s="36"/>
      <c r="E100" s="48" t="s">
        <v>28</v>
      </c>
      <c r="F100" s="36"/>
      <c r="G100" s="5">
        <v>10</v>
      </c>
      <c r="H100" s="5">
        <v>10</v>
      </c>
      <c r="I100" s="32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</row>
    <row r="101" spans="1:28" ht="16.5" customHeight="1" x14ac:dyDescent="0.25">
      <c r="A101" s="56"/>
      <c r="B101" s="47" t="s">
        <v>29</v>
      </c>
      <c r="C101" s="51"/>
      <c r="D101" s="36"/>
      <c r="E101" s="48" t="s">
        <v>30</v>
      </c>
      <c r="F101" s="36"/>
      <c r="G101" s="5">
        <v>4</v>
      </c>
      <c r="H101" s="5">
        <v>4</v>
      </c>
      <c r="I101" s="5">
        <v>4</v>
      </c>
      <c r="J101" s="32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</row>
    <row r="102" spans="1:28" ht="16.5" customHeight="1" x14ac:dyDescent="0.25">
      <c r="A102" s="56"/>
      <c r="B102" s="47" t="s">
        <v>31</v>
      </c>
      <c r="C102" s="51"/>
      <c r="D102" s="36"/>
      <c r="E102" s="48" t="s">
        <v>32</v>
      </c>
      <c r="F102" s="36"/>
      <c r="G102" s="5">
        <v>4</v>
      </c>
      <c r="H102" s="5">
        <v>4</v>
      </c>
      <c r="I102" s="5">
        <v>4</v>
      </c>
      <c r="J102" s="32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</row>
    <row r="103" spans="1:28" ht="16.5" customHeight="1" x14ac:dyDescent="0.25">
      <c r="A103" s="56"/>
      <c r="B103" s="54" t="s">
        <v>33</v>
      </c>
      <c r="C103" s="47" t="s">
        <v>34</v>
      </c>
      <c r="D103" s="36"/>
      <c r="E103" s="48" t="s">
        <v>30</v>
      </c>
      <c r="F103" s="36"/>
      <c r="G103" s="5">
        <v>2</v>
      </c>
      <c r="H103" s="5">
        <v>2</v>
      </c>
      <c r="I103" s="5">
        <v>2</v>
      </c>
      <c r="J103" s="33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</row>
    <row r="104" spans="1:28" ht="16.5" customHeight="1" x14ac:dyDescent="0.25">
      <c r="A104" s="56"/>
      <c r="B104" s="56"/>
      <c r="C104" s="47" t="s">
        <v>35</v>
      </c>
      <c r="D104" s="36"/>
      <c r="E104" s="48" t="s">
        <v>30</v>
      </c>
      <c r="F104" s="36"/>
      <c r="G104" s="5">
        <v>2</v>
      </c>
      <c r="H104" s="5">
        <v>2</v>
      </c>
      <c r="I104" s="5">
        <v>2</v>
      </c>
      <c r="J104" s="33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</row>
    <row r="105" spans="1:28" ht="16.5" customHeight="1" x14ac:dyDescent="0.25">
      <c r="A105" s="56"/>
      <c r="B105" s="56"/>
      <c r="C105" s="47" t="s">
        <v>36</v>
      </c>
      <c r="D105" s="36"/>
      <c r="E105" s="48" t="s">
        <v>30</v>
      </c>
      <c r="F105" s="36"/>
      <c r="G105" s="5">
        <v>2</v>
      </c>
      <c r="H105" s="5">
        <v>2</v>
      </c>
      <c r="I105" s="5">
        <v>2</v>
      </c>
      <c r="J105" s="33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</row>
    <row r="106" spans="1:28" ht="16.5" customHeight="1" x14ac:dyDescent="0.25">
      <c r="A106" s="56"/>
      <c r="B106" s="56"/>
      <c r="C106" s="47" t="s">
        <v>37</v>
      </c>
      <c r="D106" s="36"/>
      <c r="E106" s="48" t="s">
        <v>30</v>
      </c>
      <c r="F106" s="36"/>
      <c r="G106" s="5">
        <v>2</v>
      </c>
      <c r="H106" s="5">
        <v>2</v>
      </c>
      <c r="I106" s="5">
        <v>2</v>
      </c>
      <c r="J106" s="33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</row>
    <row r="107" spans="1:28" ht="16.5" customHeight="1" x14ac:dyDescent="0.25">
      <c r="A107" s="56"/>
      <c r="B107" s="56"/>
      <c r="C107" s="47" t="s">
        <v>38</v>
      </c>
      <c r="D107" s="36"/>
      <c r="E107" s="48" t="s">
        <v>30</v>
      </c>
      <c r="F107" s="36"/>
      <c r="G107" s="5">
        <v>2</v>
      </c>
      <c r="H107" s="5">
        <v>2</v>
      </c>
      <c r="I107" s="5">
        <v>2</v>
      </c>
      <c r="J107" s="33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</row>
    <row r="108" spans="1:28" ht="16.5" customHeight="1" x14ac:dyDescent="0.25">
      <c r="A108" s="56"/>
      <c r="B108" s="56"/>
      <c r="C108" s="47" t="s">
        <v>39</v>
      </c>
      <c r="D108" s="36"/>
      <c r="E108" s="48" t="s">
        <v>40</v>
      </c>
      <c r="F108" s="36"/>
      <c r="G108" s="5">
        <v>2</v>
      </c>
      <c r="H108" s="5">
        <v>2</v>
      </c>
      <c r="I108" s="5">
        <v>2</v>
      </c>
      <c r="J108" s="33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</row>
    <row r="109" spans="1:28" ht="16.5" customHeight="1" x14ac:dyDescent="0.25">
      <c r="A109" s="56"/>
      <c r="B109" s="56"/>
      <c r="C109" s="47" t="s">
        <v>41</v>
      </c>
      <c r="D109" s="36"/>
      <c r="E109" s="48" t="s">
        <v>40</v>
      </c>
      <c r="F109" s="36"/>
      <c r="G109" s="5">
        <v>2</v>
      </c>
      <c r="H109" s="5">
        <v>2</v>
      </c>
      <c r="I109" s="5">
        <v>2</v>
      </c>
      <c r="J109" s="33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</row>
    <row r="110" spans="1:28" ht="16.5" customHeight="1" x14ac:dyDescent="0.25">
      <c r="A110" s="56"/>
      <c r="B110" s="56"/>
      <c r="C110" s="47" t="s">
        <v>42</v>
      </c>
      <c r="D110" s="36"/>
      <c r="E110" s="48" t="s">
        <v>40</v>
      </c>
      <c r="F110" s="36"/>
      <c r="G110" s="5">
        <v>2</v>
      </c>
      <c r="H110" s="5">
        <v>2</v>
      </c>
      <c r="I110" s="5">
        <v>2</v>
      </c>
      <c r="J110" s="33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</row>
    <row r="111" spans="1:28" ht="16.5" customHeight="1" x14ac:dyDescent="0.25">
      <c r="A111" s="56"/>
      <c r="B111" s="56"/>
      <c r="C111" s="47" t="s">
        <v>43</v>
      </c>
      <c r="D111" s="36"/>
      <c r="E111" s="48" t="s">
        <v>40</v>
      </c>
      <c r="F111" s="36"/>
      <c r="G111" s="5">
        <v>2</v>
      </c>
      <c r="H111" s="5">
        <v>2</v>
      </c>
      <c r="I111" s="5">
        <v>2</v>
      </c>
      <c r="J111" s="33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</row>
    <row r="112" spans="1:28" ht="16.5" customHeight="1" x14ac:dyDescent="0.25">
      <c r="A112" s="56"/>
      <c r="B112" s="56"/>
      <c r="C112" s="47" t="s">
        <v>44</v>
      </c>
      <c r="D112" s="36"/>
      <c r="E112" s="48" t="s">
        <v>40</v>
      </c>
      <c r="F112" s="36"/>
      <c r="G112" s="5">
        <v>3</v>
      </c>
      <c r="H112" s="5">
        <v>3</v>
      </c>
      <c r="I112" s="5">
        <v>3</v>
      </c>
      <c r="J112" s="33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</row>
    <row r="113" spans="1:28" ht="16.5" customHeight="1" x14ac:dyDescent="0.25">
      <c r="A113" s="56"/>
      <c r="B113" s="55"/>
      <c r="C113" s="47" t="s">
        <v>45</v>
      </c>
      <c r="D113" s="36"/>
      <c r="E113" s="48" t="s">
        <v>28</v>
      </c>
      <c r="F113" s="36"/>
      <c r="G113" s="5">
        <v>10</v>
      </c>
      <c r="H113" s="5">
        <v>10</v>
      </c>
      <c r="I113" s="5">
        <v>10</v>
      </c>
      <c r="J113" s="5">
        <v>10</v>
      </c>
      <c r="K113" s="5">
        <v>10</v>
      </c>
      <c r="L113" s="5">
        <v>10</v>
      </c>
      <c r="M113" s="32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</row>
    <row r="114" spans="1:28" ht="16.5" customHeight="1" x14ac:dyDescent="0.25">
      <c r="A114" s="56"/>
      <c r="B114" s="54" t="s">
        <v>46</v>
      </c>
      <c r="C114" s="47" t="s">
        <v>47</v>
      </c>
      <c r="D114" s="36"/>
      <c r="E114" s="48" t="s">
        <v>32</v>
      </c>
      <c r="F114" s="36"/>
      <c r="G114" s="5">
        <v>2</v>
      </c>
      <c r="H114" s="5">
        <v>2</v>
      </c>
      <c r="I114" s="5">
        <v>2</v>
      </c>
      <c r="J114" s="5">
        <v>2</v>
      </c>
      <c r="K114" s="5">
        <v>2</v>
      </c>
      <c r="L114" s="5">
        <v>2</v>
      </c>
      <c r="M114" s="5">
        <v>2</v>
      </c>
      <c r="N114" s="32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</row>
    <row r="115" spans="1:28" ht="16.5" customHeight="1" x14ac:dyDescent="0.25">
      <c r="A115" s="56"/>
      <c r="B115" s="56"/>
      <c r="C115" s="47" t="s">
        <v>48</v>
      </c>
      <c r="D115" s="36"/>
      <c r="E115" s="48" t="s">
        <v>32</v>
      </c>
      <c r="F115" s="36"/>
      <c r="G115" s="5">
        <v>2</v>
      </c>
      <c r="H115" s="5">
        <v>2</v>
      </c>
      <c r="I115" s="5">
        <v>2</v>
      </c>
      <c r="J115" s="5">
        <v>2</v>
      </c>
      <c r="K115" s="5">
        <v>2</v>
      </c>
      <c r="L115" s="5">
        <v>2</v>
      </c>
      <c r="M115" s="5">
        <v>2</v>
      </c>
      <c r="N115" s="32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</row>
    <row r="116" spans="1:28" ht="16.5" customHeight="1" x14ac:dyDescent="0.25">
      <c r="A116" s="56"/>
      <c r="B116" s="56"/>
      <c r="C116" s="47" t="s">
        <v>49</v>
      </c>
      <c r="D116" s="36"/>
      <c r="E116" s="48" t="s">
        <v>32</v>
      </c>
      <c r="F116" s="36"/>
      <c r="G116" s="5">
        <v>2</v>
      </c>
      <c r="H116" s="5">
        <v>2</v>
      </c>
      <c r="I116" s="5">
        <v>2</v>
      </c>
      <c r="J116" s="5">
        <v>2</v>
      </c>
      <c r="K116" s="5">
        <v>2</v>
      </c>
      <c r="L116" s="5">
        <v>2</v>
      </c>
      <c r="M116" s="5">
        <v>2</v>
      </c>
      <c r="N116" s="32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</row>
    <row r="117" spans="1:28" ht="16.5" customHeight="1" x14ac:dyDescent="0.25">
      <c r="A117" s="56"/>
      <c r="B117" s="56"/>
      <c r="C117" s="47" t="s">
        <v>50</v>
      </c>
      <c r="D117" s="36"/>
      <c r="E117" s="48" t="s">
        <v>32</v>
      </c>
      <c r="F117" s="36"/>
      <c r="G117" s="5">
        <v>2</v>
      </c>
      <c r="H117" s="5">
        <v>2</v>
      </c>
      <c r="I117" s="5">
        <v>2</v>
      </c>
      <c r="J117" s="5">
        <v>2</v>
      </c>
      <c r="K117" s="5">
        <v>2</v>
      </c>
      <c r="L117" s="5">
        <v>2</v>
      </c>
      <c r="M117" s="5">
        <v>2</v>
      </c>
      <c r="N117" s="32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</row>
    <row r="118" spans="1:28" ht="16.5" customHeight="1" x14ac:dyDescent="0.25">
      <c r="A118" s="56"/>
      <c r="B118" s="56"/>
      <c r="C118" s="47" t="s">
        <v>51</v>
      </c>
      <c r="D118" s="36"/>
      <c r="E118" s="48" t="s">
        <v>32</v>
      </c>
      <c r="F118" s="36"/>
      <c r="G118" s="5">
        <v>2</v>
      </c>
      <c r="H118" s="5">
        <v>2</v>
      </c>
      <c r="I118" s="5">
        <v>2</v>
      </c>
      <c r="J118" s="5">
        <v>2</v>
      </c>
      <c r="K118" s="5">
        <v>2</v>
      </c>
      <c r="L118" s="5">
        <v>2</v>
      </c>
      <c r="M118" s="5">
        <v>2</v>
      </c>
      <c r="N118" s="5">
        <v>2</v>
      </c>
      <c r="O118" s="32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</row>
    <row r="119" spans="1:28" ht="16.5" customHeight="1" x14ac:dyDescent="0.25">
      <c r="A119" s="56"/>
      <c r="B119" s="56"/>
      <c r="C119" s="47" t="s">
        <v>52</v>
      </c>
      <c r="D119" s="36"/>
      <c r="E119" s="48" t="s">
        <v>32</v>
      </c>
      <c r="F119" s="36"/>
      <c r="G119" s="5">
        <v>2</v>
      </c>
      <c r="H119" s="5">
        <v>2</v>
      </c>
      <c r="I119" s="5">
        <v>2</v>
      </c>
      <c r="J119" s="5">
        <v>2</v>
      </c>
      <c r="K119" s="5">
        <v>2</v>
      </c>
      <c r="L119" s="5">
        <v>2</v>
      </c>
      <c r="M119" s="5">
        <v>2</v>
      </c>
      <c r="N119" s="5">
        <v>2</v>
      </c>
      <c r="O119" s="32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</row>
    <row r="120" spans="1:28" ht="16.5" customHeight="1" x14ac:dyDescent="0.25">
      <c r="A120" s="56"/>
      <c r="B120" s="56"/>
      <c r="C120" s="47" t="s">
        <v>53</v>
      </c>
      <c r="D120" s="36"/>
      <c r="E120" s="48" t="s">
        <v>32</v>
      </c>
      <c r="F120" s="36"/>
      <c r="G120" s="5">
        <v>2</v>
      </c>
      <c r="H120" s="5">
        <v>2</v>
      </c>
      <c r="I120" s="5">
        <v>2</v>
      </c>
      <c r="J120" s="5">
        <v>2</v>
      </c>
      <c r="K120" s="5">
        <v>2</v>
      </c>
      <c r="L120" s="5">
        <v>2</v>
      </c>
      <c r="M120" s="5">
        <v>2</v>
      </c>
      <c r="N120" s="5">
        <v>2</v>
      </c>
      <c r="O120" s="32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</row>
    <row r="121" spans="1:28" ht="16.5" customHeight="1" x14ac:dyDescent="0.25">
      <c r="A121" s="56"/>
      <c r="B121" s="56"/>
      <c r="C121" s="47" t="s">
        <v>54</v>
      </c>
      <c r="D121" s="36"/>
      <c r="E121" s="48" t="s">
        <v>32</v>
      </c>
      <c r="F121" s="36"/>
      <c r="G121" s="5">
        <v>0</v>
      </c>
      <c r="H121" s="5">
        <v>2</v>
      </c>
      <c r="I121" s="5">
        <v>2</v>
      </c>
      <c r="J121" s="5">
        <v>2</v>
      </c>
      <c r="K121" s="5">
        <v>2</v>
      </c>
      <c r="L121" s="5">
        <v>2</v>
      </c>
      <c r="M121" s="5">
        <v>2</v>
      </c>
      <c r="N121" s="5">
        <v>2</v>
      </c>
      <c r="O121" s="5">
        <v>2</v>
      </c>
      <c r="P121" s="5">
        <v>2</v>
      </c>
      <c r="Q121" s="5">
        <v>2</v>
      </c>
      <c r="R121" s="5">
        <v>2</v>
      </c>
      <c r="S121" s="5">
        <v>2</v>
      </c>
      <c r="T121" s="5">
        <v>2</v>
      </c>
      <c r="U121" s="5">
        <v>2</v>
      </c>
      <c r="V121" s="5">
        <v>2</v>
      </c>
      <c r="W121" s="5">
        <v>2</v>
      </c>
      <c r="X121" s="5">
        <v>2</v>
      </c>
      <c r="Y121" s="5">
        <v>2</v>
      </c>
      <c r="Z121" s="5">
        <v>2</v>
      </c>
      <c r="AA121" s="5">
        <v>2</v>
      </c>
      <c r="AB121" s="5">
        <v>2</v>
      </c>
    </row>
    <row r="122" spans="1:28" ht="16.5" customHeight="1" x14ac:dyDescent="0.25">
      <c r="A122" s="56"/>
      <c r="B122" s="56"/>
      <c r="C122" s="47" t="s">
        <v>55</v>
      </c>
      <c r="D122" s="36"/>
      <c r="E122" s="48" t="s">
        <v>32</v>
      </c>
      <c r="F122" s="36"/>
      <c r="G122" s="5">
        <v>0</v>
      </c>
      <c r="H122" s="5">
        <v>2</v>
      </c>
      <c r="I122" s="5">
        <v>2</v>
      </c>
      <c r="J122" s="5">
        <v>2</v>
      </c>
      <c r="K122" s="5">
        <v>2</v>
      </c>
      <c r="L122" s="5">
        <v>2</v>
      </c>
      <c r="M122" s="5">
        <v>2</v>
      </c>
      <c r="N122" s="5">
        <v>2</v>
      </c>
      <c r="O122" s="5">
        <v>2</v>
      </c>
      <c r="P122" s="5">
        <v>2</v>
      </c>
      <c r="Q122" s="5">
        <v>2</v>
      </c>
      <c r="R122" s="5">
        <v>2</v>
      </c>
      <c r="S122" s="5">
        <v>2</v>
      </c>
      <c r="T122" s="5">
        <v>2</v>
      </c>
      <c r="U122" s="5">
        <v>2</v>
      </c>
      <c r="V122" s="5">
        <v>2</v>
      </c>
      <c r="W122" s="5">
        <v>2</v>
      </c>
      <c r="X122" s="5">
        <v>2</v>
      </c>
      <c r="Y122" s="5">
        <v>2</v>
      </c>
      <c r="Z122" s="5">
        <v>2</v>
      </c>
      <c r="AA122" s="5">
        <v>2</v>
      </c>
      <c r="AB122" s="5">
        <v>2</v>
      </c>
    </row>
    <row r="123" spans="1:28" ht="16.5" customHeight="1" x14ac:dyDescent="0.25">
      <c r="A123" s="56"/>
      <c r="B123" s="56"/>
      <c r="C123" s="47" t="s">
        <v>56</v>
      </c>
      <c r="D123" s="36"/>
      <c r="E123" s="48" t="s">
        <v>32</v>
      </c>
      <c r="F123" s="36"/>
      <c r="G123" s="5">
        <v>0</v>
      </c>
      <c r="H123" s="5">
        <v>3</v>
      </c>
      <c r="I123" s="5">
        <v>3</v>
      </c>
      <c r="J123" s="5">
        <v>3</v>
      </c>
      <c r="K123" s="5">
        <v>3</v>
      </c>
      <c r="L123" s="5">
        <v>3</v>
      </c>
      <c r="M123" s="5">
        <v>3</v>
      </c>
      <c r="N123" s="5">
        <v>3</v>
      </c>
      <c r="O123" s="5">
        <v>3</v>
      </c>
      <c r="P123" s="5">
        <v>3</v>
      </c>
      <c r="Q123" s="5">
        <v>3</v>
      </c>
      <c r="R123" s="5">
        <v>3</v>
      </c>
      <c r="S123" s="5">
        <v>3</v>
      </c>
      <c r="T123" s="5">
        <v>3</v>
      </c>
      <c r="U123" s="5">
        <v>3</v>
      </c>
      <c r="V123" s="5">
        <v>3</v>
      </c>
      <c r="W123" s="5">
        <v>3</v>
      </c>
      <c r="X123" s="5">
        <v>3</v>
      </c>
      <c r="Y123" s="5">
        <v>3</v>
      </c>
      <c r="Z123" s="5">
        <v>3</v>
      </c>
      <c r="AA123" s="5">
        <v>3</v>
      </c>
      <c r="AB123" s="5">
        <v>3</v>
      </c>
    </row>
    <row r="124" spans="1:28" ht="16.5" customHeight="1" x14ac:dyDescent="0.25">
      <c r="A124" s="56"/>
      <c r="B124" s="55"/>
      <c r="C124" s="47" t="s">
        <v>57</v>
      </c>
      <c r="D124" s="36"/>
      <c r="E124" s="48" t="s">
        <v>28</v>
      </c>
      <c r="F124" s="36"/>
      <c r="G124" s="5">
        <v>10</v>
      </c>
      <c r="H124" s="5">
        <v>10</v>
      </c>
      <c r="I124" s="5">
        <v>10</v>
      </c>
      <c r="J124" s="5">
        <v>10</v>
      </c>
      <c r="K124" s="5">
        <v>10</v>
      </c>
      <c r="L124" s="5">
        <v>10</v>
      </c>
      <c r="M124" s="5">
        <v>10</v>
      </c>
      <c r="N124" s="5">
        <v>10</v>
      </c>
      <c r="O124" s="5">
        <v>10</v>
      </c>
      <c r="P124" s="32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</row>
    <row r="125" spans="1:28" ht="16.5" customHeight="1" x14ac:dyDescent="0.25">
      <c r="A125" s="56"/>
      <c r="B125" s="54" t="s">
        <v>58</v>
      </c>
      <c r="C125" s="47" t="s">
        <v>59</v>
      </c>
      <c r="D125" s="36"/>
      <c r="E125" s="48" t="s">
        <v>60</v>
      </c>
      <c r="F125" s="36"/>
      <c r="G125" s="5">
        <v>8</v>
      </c>
      <c r="H125" s="5">
        <v>8</v>
      </c>
      <c r="I125" s="5">
        <v>8</v>
      </c>
      <c r="J125" s="33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</row>
    <row r="126" spans="1:28" ht="16.5" customHeight="1" x14ac:dyDescent="0.25">
      <c r="A126" s="56"/>
      <c r="B126" s="56"/>
      <c r="C126" s="47" t="s">
        <v>61</v>
      </c>
      <c r="D126" s="36"/>
      <c r="E126" s="48" t="s">
        <v>30</v>
      </c>
      <c r="F126" s="36"/>
      <c r="G126" s="5">
        <v>6</v>
      </c>
      <c r="H126" s="5">
        <v>6</v>
      </c>
      <c r="I126" s="5">
        <v>6</v>
      </c>
      <c r="J126" s="5">
        <v>6</v>
      </c>
      <c r="K126" s="33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</row>
    <row r="127" spans="1:28" ht="16.5" customHeight="1" x14ac:dyDescent="0.25">
      <c r="A127" s="56"/>
      <c r="B127" s="56"/>
      <c r="C127" s="47" t="s">
        <v>62</v>
      </c>
      <c r="D127" s="36"/>
      <c r="E127" s="48" t="s">
        <v>60</v>
      </c>
      <c r="F127" s="36"/>
      <c r="G127" s="5">
        <v>8</v>
      </c>
      <c r="H127" s="5">
        <v>8</v>
      </c>
      <c r="I127" s="5">
        <v>8</v>
      </c>
      <c r="J127" s="33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</row>
    <row r="128" spans="1:28" ht="16.5" customHeight="1" x14ac:dyDescent="0.25">
      <c r="A128" s="56"/>
      <c r="B128" s="56"/>
      <c r="C128" s="47" t="s">
        <v>63</v>
      </c>
      <c r="D128" s="36"/>
      <c r="E128" s="48" t="s">
        <v>30</v>
      </c>
      <c r="F128" s="36"/>
      <c r="G128" s="5">
        <v>6</v>
      </c>
      <c r="H128" s="5">
        <v>6</v>
      </c>
      <c r="I128" s="5">
        <v>6</v>
      </c>
      <c r="J128" s="5">
        <v>6</v>
      </c>
      <c r="K128" s="33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</row>
    <row r="129" spans="1:28" ht="16.5" customHeight="1" x14ac:dyDescent="0.25">
      <c r="A129" s="56"/>
      <c r="B129" s="56"/>
      <c r="C129" s="47" t="s">
        <v>64</v>
      </c>
      <c r="D129" s="36"/>
      <c r="E129" s="48" t="s">
        <v>60</v>
      </c>
      <c r="F129" s="36"/>
      <c r="G129" s="5">
        <v>8</v>
      </c>
      <c r="H129" s="5">
        <v>8</v>
      </c>
      <c r="I129" s="5">
        <v>8</v>
      </c>
      <c r="J129" s="5">
        <v>8</v>
      </c>
      <c r="K129" s="5">
        <v>8</v>
      </c>
      <c r="L129" s="33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</row>
    <row r="130" spans="1:28" ht="16.5" customHeight="1" x14ac:dyDescent="0.25">
      <c r="A130" s="56"/>
      <c r="B130" s="56"/>
      <c r="C130" s="47" t="s">
        <v>65</v>
      </c>
      <c r="D130" s="36"/>
      <c r="E130" s="48" t="s">
        <v>30</v>
      </c>
      <c r="F130" s="36"/>
      <c r="G130" s="5">
        <v>6</v>
      </c>
      <c r="H130" s="5">
        <v>6</v>
      </c>
      <c r="I130" s="5">
        <v>6</v>
      </c>
      <c r="J130" s="5">
        <v>6</v>
      </c>
      <c r="K130" s="33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</row>
    <row r="131" spans="1:28" ht="16.5" customHeight="1" x14ac:dyDescent="0.25">
      <c r="A131" s="56"/>
      <c r="B131" s="56"/>
      <c r="C131" s="47" t="s">
        <v>66</v>
      </c>
      <c r="D131" s="36"/>
      <c r="E131" s="48" t="s">
        <v>60</v>
      </c>
      <c r="F131" s="36"/>
      <c r="G131" s="5">
        <v>8</v>
      </c>
      <c r="H131" s="5">
        <v>8</v>
      </c>
      <c r="I131" s="5">
        <v>8</v>
      </c>
      <c r="J131" s="5">
        <v>8</v>
      </c>
      <c r="K131" s="5">
        <v>8</v>
      </c>
      <c r="L131" s="33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</row>
    <row r="132" spans="1:28" ht="16.5" customHeight="1" x14ac:dyDescent="0.25">
      <c r="A132" s="56"/>
      <c r="B132" s="56"/>
      <c r="C132" s="47" t="s">
        <v>67</v>
      </c>
      <c r="D132" s="36"/>
      <c r="E132" s="48" t="s">
        <v>30</v>
      </c>
      <c r="F132" s="36"/>
      <c r="G132" s="5">
        <v>6</v>
      </c>
      <c r="H132" s="5">
        <v>6</v>
      </c>
      <c r="I132" s="5">
        <v>6</v>
      </c>
      <c r="J132" s="5">
        <v>6</v>
      </c>
      <c r="K132" s="5">
        <v>6</v>
      </c>
      <c r="L132" s="5">
        <v>6</v>
      </c>
      <c r="M132" s="5">
        <v>6</v>
      </c>
      <c r="N132" s="5">
        <v>6</v>
      </c>
      <c r="O132" s="5">
        <v>6</v>
      </c>
      <c r="P132" s="5">
        <v>6</v>
      </c>
      <c r="Q132" s="5">
        <v>6</v>
      </c>
      <c r="R132" s="5">
        <v>6</v>
      </c>
      <c r="S132" s="5">
        <v>6</v>
      </c>
      <c r="T132" s="5">
        <v>6</v>
      </c>
      <c r="U132" s="34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</row>
    <row r="133" spans="1:28" ht="16.5" customHeight="1" x14ac:dyDescent="0.25">
      <c r="A133" s="56"/>
      <c r="B133" s="56"/>
      <c r="C133" s="47" t="s">
        <v>68</v>
      </c>
      <c r="D133" s="36"/>
      <c r="E133" s="48" t="s">
        <v>60</v>
      </c>
      <c r="F133" s="36"/>
      <c r="G133" s="5">
        <v>8</v>
      </c>
      <c r="H133" s="5">
        <v>8</v>
      </c>
      <c r="I133" s="5">
        <v>8</v>
      </c>
      <c r="J133" s="5">
        <v>8</v>
      </c>
      <c r="K133" s="5">
        <v>8</v>
      </c>
      <c r="L133" s="33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</row>
    <row r="134" spans="1:28" ht="16.5" customHeight="1" x14ac:dyDescent="0.25">
      <c r="A134" s="56"/>
      <c r="B134" s="56"/>
      <c r="C134" s="47" t="s">
        <v>69</v>
      </c>
      <c r="D134" s="36"/>
      <c r="E134" s="48" t="s">
        <v>30</v>
      </c>
      <c r="F134" s="36"/>
      <c r="G134" s="5">
        <v>6</v>
      </c>
      <c r="H134" s="5">
        <v>6</v>
      </c>
      <c r="I134" s="5">
        <v>6</v>
      </c>
      <c r="J134" s="33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</row>
    <row r="135" spans="1:28" ht="16.5" customHeight="1" x14ac:dyDescent="0.25">
      <c r="A135" s="56"/>
      <c r="B135" s="56"/>
      <c r="C135" s="47" t="s">
        <v>70</v>
      </c>
      <c r="D135" s="36"/>
      <c r="E135" s="48" t="s">
        <v>60</v>
      </c>
      <c r="F135" s="36"/>
      <c r="G135" s="5">
        <v>8</v>
      </c>
      <c r="H135" s="5">
        <v>8</v>
      </c>
      <c r="I135" s="5">
        <v>8</v>
      </c>
      <c r="J135" s="5">
        <v>8</v>
      </c>
      <c r="K135" s="5">
        <v>8</v>
      </c>
      <c r="L135" s="5">
        <v>8</v>
      </c>
      <c r="M135" s="33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</row>
    <row r="136" spans="1:28" ht="16.5" customHeight="1" x14ac:dyDescent="0.25">
      <c r="A136" s="56"/>
      <c r="B136" s="56"/>
      <c r="C136" s="47" t="s">
        <v>71</v>
      </c>
      <c r="D136" s="36"/>
      <c r="E136" s="48" t="s">
        <v>72</v>
      </c>
      <c r="F136" s="36"/>
      <c r="G136" s="5">
        <v>6</v>
      </c>
      <c r="H136" s="5">
        <v>6</v>
      </c>
      <c r="I136" s="5">
        <v>6</v>
      </c>
      <c r="J136" s="5">
        <v>6</v>
      </c>
      <c r="K136" s="5">
        <v>6</v>
      </c>
      <c r="L136" s="5">
        <v>6</v>
      </c>
      <c r="M136" s="5">
        <v>6</v>
      </c>
      <c r="N136" s="5">
        <v>6</v>
      </c>
      <c r="O136" s="5">
        <v>6</v>
      </c>
      <c r="P136" s="5">
        <v>6</v>
      </c>
      <c r="Q136" s="5">
        <v>6</v>
      </c>
      <c r="R136" s="5">
        <v>6</v>
      </c>
      <c r="S136" s="5">
        <v>6</v>
      </c>
      <c r="T136" s="5">
        <v>6</v>
      </c>
      <c r="U136" s="32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</row>
    <row r="137" spans="1:28" ht="16.5" customHeight="1" x14ac:dyDescent="0.25">
      <c r="A137" s="56"/>
      <c r="B137" s="56"/>
      <c r="C137" s="47" t="s">
        <v>73</v>
      </c>
      <c r="D137" s="36"/>
      <c r="E137" s="48" t="s">
        <v>60</v>
      </c>
      <c r="F137" s="36"/>
      <c r="G137" s="5">
        <v>8</v>
      </c>
      <c r="H137" s="5">
        <v>8</v>
      </c>
      <c r="I137" s="5">
        <v>8</v>
      </c>
      <c r="J137" s="5">
        <v>8</v>
      </c>
      <c r="K137" s="5">
        <v>8</v>
      </c>
      <c r="L137" s="5">
        <v>8</v>
      </c>
      <c r="M137" s="5">
        <v>8</v>
      </c>
      <c r="N137" s="5">
        <v>8</v>
      </c>
      <c r="O137" s="5">
        <v>8</v>
      </c>
      <c r="P137" s="5">
        <v>8</v>
      </c>
      <c r="Q137" s="5">
        <v>8</v>
      </c>
      <c r="R137" s="5">
        <v>8</v>
      </c>
      <c r="S137" s="5">
        <v>8</v>
      </c>
      <c r="T137" s="5">
        <v>8</v>
      </c>
      <c r="U137" s="33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</row>
    <row r="138" spans="1:28" ht="16.5" customHeight="1" x14ac:dyDescent="0.25">
      <c r="A138" s="56"/>
      <c r="B138" s="56"/>
      <c r="C138" s="47" t="s">
        <v>74</v>
      </c>
      <c r="D138" s="36"/>
      <c r="E138" s="48" t="s">
        <v>72</v>
      </c>
      <c r="F138" s="36"/>
      <c r="G138" s="5">
        <v>6</v>
      </c>
      <c r="H138" s="5">
        <v>6</v>
      </c>
      <c r="I138" s="5">
        <v>6</v>
      </c>
      <c r="J138" s="5">
        <v>6</v>
      </c>
      <c r="K138" s="5">
        <v>6</v>
      </c>
      <c r="L138" s="5">
        <v>6</v>
      </c>
      <c r="M138" s="5">
        <v>6</v>
      </c>
      <c r="N138" s="5">
        <v>6</v>
      </c>
      <c r="O138" s="5">
        <v>6</v>
      </c>
      <c r="P138" s="5">
        <v>6</v>
      </c>
      <c r="Q138" s="5">
        <v>6</v>
      </c>
      <c r="R138" s="5">
        <v>6</v>
      </c>
      <c r="S138" s="5">
        <v>6</v>
      </c>
      <c r="T138" s="5">
        <v>6</v>
      </c>
      <c r="U138" s="33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</row>
    <row r="139" spans="1:28" ht="16.5" customHeight="1" x14ac:dyDescent="0.25">
      <c r="A139" s="56"/>
      <c r="B139" s="56"/>
      <c r="C139" s="47" t="s">
        <v>75</v>
      </c>
      <c r="D139" s="36"/>
      <c r="E139" s="48" t="s">
        <v>60</v>
      </c>
      <c r="F139" s="36"/>
      <c r="G139" s="5">
        <v>8</v>
      </c>
      <c r="H139" s="5">
        <v>8</v>
      </c>
      <c r="I139" s="5">
        <v>8</v>
      </c>
      <c r="J139" s="5">
        <v>8</v>
      </c>
      <c r="K139" s="5">
        <v>8</v>
      </c>
      <c r="L139" s="5">
        <v>8</v>
      </c>
      <c r="M139" s="5">
        <v>8</v>
      </c>
      <c r="N139" s="5">
        <v>8</v>
      </c>
      <c r="O139" s="5">
        <v>8</v>
      </c>
      <c r="P139" s="33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</row>
    <row r="140" spans="1:28" ht="16.5" customHeight="1" x14ac:dyDescent="0.25">
      <c r="A140" s="56"/>
      <c r="B140" s="56"/>
      <c r="C140" s="47" t="s">
        <v>76</v>
      </c>
      <c r="D140" s="36"/>
      <c r="E140" s="48" t="s">
        <v>72</v>
      </c>
      <c r="F140" s="36"/>
      <c r="G140" s="5">
        <v>6</v>
      </c>
      <c r="H140" s="5">
        <v>6</v>
      </c>
      <c r="I140" s="5">
        <v>6</v>
      </c>
      <c r="J140" s="5">
        <v>6</v>
      </c>
      <c r="K140" s="33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</row>
    <row r="141" spans="1:28" ht="16.5" customHeight="1" x14ac:dyDescent="0.25">
      <c r="A141" s="56"/>
      <c r="B141" s="56"/>
      <c r="C141" s="47" t="s">
        <v>77</v>
      </c>
      <c r="D141" s="36"/>
      <c r="E141" s="48" t="s">
        <v>60</v>
      </c>
      <c r="F141" s="36"/>
      <c r="G141" s="5">
        <v>8</v>
      </c>
      <c r="H141" s="5">
        <v>8</v>
      </c>
      <c r="I141" s="5">
        <v>8</v>
      </c>
      <c r="J141" s="5">
        <v>8</v>
      </c>
      <c r="K141" s="5">
        <v>8</v>
      </c>
      <c r="L141" s="5">
        <v>8</v>
      </c>
      <c r="M141" s="5">
        <v>8</v>
      </c>
      <c r="N141" s="5">
        <v>8</v>
      </c>
      <c r="O141" s="5">
        <v>8</v>
      </c>
      <c r="P141" s="5">
        <v>8</v>
      </c>
      <c r="Q141" s="33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</row>
    <row r="142" spans="1:28" ht="16.5" customHeight="1" x14ac:dyDescent="0.25">
      <c r="A142" s="56"/>
      <c r="B142" s="56"/>
      <c r="C142" s="47" t="s">
        <v>78</v>
      </c>
      <c r="D142" s="36"/>
      <c r="E142" s="48" t="s">
        <v>40</v>
      </c>
      <c r="F142" s="36"/>
      <c r="G142" s="5">
        <v>6</v>
      </c>
      <c r="H142" s="5">
        <v>6</v>
      </c>
      <c r="I142" s="5">
        <v>6</v>
      </c>
      <c r="J142" s="5">
        <v>6</v>
      </c>
      <c r="K142" s="33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</row>
    <row r="143" spans="1:28" ht="16.5" customHeight="1" x14ac:dyDescent="0.25">
      <c r="A143" s="56"/>
      <c r="B143" s="56"/>
      <c r="C143" s="47" t="s">
        <v>79</v>
      </c>
      <c r="D143" s="36"/>
      <c r="E143" s="48" t="s">
        <v>60</v>
      </c>
      <c r="F143" s="36"/>
      <c r="G143" s="5">
        <v>10</v>
      </c>
      <c r="H143" s="5">
        <v>10</v>
      </c>
      <c r="I143" s="5">
        <v>10</v>
      </c>
      <c r="J143" s="5">
        <v>10</v>
      </c>
      <c r="K143" s="5">
        <v>10</v>
      </c>
      <c r="L143" s="5">
        <v>10</v>
      </c>
      <c r="M143" s="5">
        <v>10</v>
      </c>
      <c r="N143" s="5">
        <v>10</v>
      </c>
      <c r="O143" s="5">
        <v>10</v>
      </c>
      <c r="P143" s="5">
        <v>10</v>
      </c>
      <c r="Q143" s="5">
        <v>10</v>
      </c>
      <c r="R143" s="5">
        <v>10</v>
      </c>
      <c r="S143" s="5">
        <v>10</v>
      </c>
      <c r="T143" s="5">
        <v>10</v>
      </c>
      <c r="U143" s="5">
        <v>10</v>
      </c>
      <c r="V143" s="5">
        <v>10</v>
      </c>
      <c r="W143" s="5">
        <v>10</v>
      </c>
      <c r="X143" s="34">
        <v>0</v>
      </c>
      <c r="Y143" s="5">
        <v>0</v>
      </c>
      <c r="Z143" s="5">
        <v>0</v>
      </c>
      <c r="AA143" s="5">
        <v>0</v>
      </c>
      <c r="AB143" s="5">
        <v>0</v>
      </c>
    </row>
    <row r="144" spans="1:28" ht="16.5" customHeight="1" x14ac:dyDescent="0.25">
      <c r="A144" s="56"/>
      <c r="B144" s="56"/>
      <c r="C144" s="47" t="s">
        <v>80</v>
      </c>
      <c r="D144" s="36"/>
      <c r="E144" s="48" t="s">
        <v>40</v>
      </c>
      <c r="F144" s="36"/>
      <c r="G144" s="5">
        <v>8</v>
      </c>
      <c r="H144" s="5">
        <v>8</v>
      </c>
      <c r="I144" s="5">
        <v>8</v>
      </c>
      <c r="J144" s="5">
        <v>8</v>
      </c>
      <c r="K144" s="5">
        <v>8</v>
      </c>
      <c r="L144" s="5">
        <v>8</v>
      </c>
      <c r="M144" s="5">
        <v>8</v>
      </c>
      <c r="N144" s="5">
        <v>8</v>
      </c>
      <c r="O144" s="5">
        <v>8</v>
      </c>
      <c r="P144" s="5">
        <v>8</v>
      </c>
      <c r="Q144" s="5">
        <v>8</v>
      </c>
      <c r="R144" s="5">
        <v>8</v>
      </c>
      <c r="S144" s="5">
        <v>8</v>
      </c>
      <c r="T144" s="5">
        <v>8</v>
      </c>
      <c r="U144" s="5">
        <v>8</v>
      </c>
      <c r="V144" s="5">
        <v>8</v>
      </c>
      <c r="W144" s="5">
        <v>8</v>
      </c>
      <c r="X144" s="34">
        <v>0</v>
      </c>
      <c r="Y144" s="5">
        <v>0</v>
      </c>
      <c r="Z144" s="5">
        <v>0</v>
      </c>
      <c r="AA144" s="5">
        <v>0</v>
      </c>
      <c r="AB144" s="5">
        <v>0</v>
      </c>
    </row>
    <row r="145" spans="1:28" ht="16.5" customHeight="1" x14ac:dyDescent="0.25">
      <c r="A145" s="56"/>
      <c r="B145" s="55"/>
      <c r="C145" s="47" t="s">
        <v>81</v>
      </c>
      <c r="D145" s="36"/>
      <c r="E145" s="48" t="s">
        <v>28</v>
      </c>
      <c r="F145" s="36"/>
      <c r="G145" s="5">
        <v>10</v>
      </c>
      <c r="H145" s="5">
        <v>10</v>
      </c>
      <c r="I145" s="5">
        <v>10</v>
      </c>
      <c r="J145" s="5">
        <v>10</v>
      </c>
      <c r="K145" s="5">
        <v>10</v>
      </c>
      <c r="L145" s="5">
        <v>10</v>
      </c>
      <c r="M145" s="5">
        <v>10</v>
      </c>
      <c r="N145" s="5">
        <v>10</v>
      </c>
      <c r="O145" s="5">
        <v>10</v>
      </c>
      <c r="P145" s="5">
        <v>10</v>
      </c>
      <c r="Q145" s="5">
        <v>10</v>
      </c>
      <c r="R145" s="5">
        <v>10</v>
      </c>
      <c r="S145" s="5">
        <v>10</v>
      </c>
      <c r="T145" s="5">
        <v>10</v>
      </c>
      <c r="U145" s="5">
        <v>10</v>
      </c>
      <c r="V145" s="5">
        <v>10</v>
      </c>
      <c r="W145" s="5">
        <v>10</v>
      </c>
      <c r="X145" s="32">
        <v>0</v>
      </c>
      <c r="Y145" s="5">
        <v>0</v>
      </c>
      <c r="Z145" s="5">
        <v>0</v>
      </c>
      <c r="AA145" s="5">
        <v>0</v>
      </c>
      <c r="AB145" s="5">
        <v>0</v>
      </c>
    </row>
    <row r="146" spans="1:28" ht="16.5" customHeight="1" x14ac:dyDescent="0.25">
      <c r="A146" s="56"/>
      <c r="B146" s="54" t="s">
        <v>82</v>
      </c>
      <c r="C146" s="47" t="s">
        <v>83</v>
      </c>
      <c r="D146" s="36"/>
      <c r="E146" s="48" t="s">
        <v>32</v>
      </c>
      <c r="F146" s="36"/>
      <c r="G146" s="5">
        <v>3</v>
      </c>
      <c r="H146" s="5">
        <v>3</v>
      </c>
      <c r="I146" s="5">
        <v>3</v>
      </c>
      <c r="J146" s="5">
        <v>3</v>
      </c>
      <c r="K146" s="5">
        <v>3</v>
      </c>
      <c r="L146" s="5">
        <v>3</v>
      </c>
      <c r="M146" s="5">
        <v>3</v>
      </c>
      <c r="N146" s="5">
        <v>3</v>
      </c>
      <c r="O146" s="5">
        <v>3</v>
      </c>
      <c r="P146" s="5">
        <v>3</v>
      </c>
      <c r="Q146" s="5">
        <v>3</v>
      </c>
      <c r="R146" s="5">
        <v>3</v>
      </c>
      <c r="S146" s="5">
        <v>3</v>
      </c>
      <c r="T146" s="5">
        <v>3</v>
      </c>
      <c r="U146" s="5">
        <v>3</v>
      </c>
      <c r="V146" s="5">
        <v>3</v>
      </c>
      <c r="W146" s="33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</row>
    <row r="147" spans="1:28" ht="16.5" customHeight="1" x14ac:dyDescent="0.25">
      <c r="A147" s="56"/>
      <c r="B147" s="56"/>
      <c r="C147" s="47" t="s">
        <v>84</v>
      </c>
      <c r="D147" s="36"/>
      <c r="E147" s="48" t="s">
        <v>32</v>
      </c>
      <c r="F147" s="36"/>
      <c r="G147" s="5">
        <v>3</v>
      </c>
      <c r="H147" s="5">
        <v>3</v>
      </c>
      <c r="I147" s="5">
        <v>3</v>
      </c>
      <c r="J147" s="5">
        <v>3</v>
      </c>
      <c r="K147" s="5">
        <v>3</v>
      </c>
      <c r="L147" s="5">
        <v>3</v>
      </c>
      <c r="M147" s="5">
        <v>3</v>
      </c>
      <c r="N147" s="5">
        <v>3</v>
      </c>
      <c r="O147" s="5">
        <v>3</v>
      </c>
      <c r="P147" s="5">
        <v>3</v>
      </c>
      <c r="Q147" s="5">
        <v>3</v>
      </c>
      <c r="R147" s="5">
        <v>3</v>
      </c>
      <c r="S147" s="5">
        <v>3</v>
      </c>
      <c r="T147" s="5">
        <v>3</v>
      </c>
      <c r="U147" s="5">
        <v>3</v>
      </c>
      <c r="V147" s="5">
        <v>3</v>
      </c>
      <c r="W147" s="33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</row>
    <row r="148" spans="1:28" ht="16.5" customHeight="1" x14ac:dyDescent="0.25">
      <c r="A148" s="56"/>
      <c r="B148" s="56"/>
      <c r="C148" s="47" t="s">
        <v>85</v>
      </c>
      <c r="D148" s="36"/>
      <c r="E148" s="48" t="s">
        <v>32</v>
      </c>
      <c r="F148" s="36"/>
      <c r="G148" s="5">
        <v>3</v>
      </c>
      <c r="H148" s="5">
        <v>3</v>
      </c>
      <c r="I148" s="5">
        <v>3</v>
      </c>
      <c r="J148" s="5">
        <v>3</v>
      </c>
      <c r="K148" s="5">
        <v>3</v>
      </c>
      <c r="L148" s="5">
        <v>3</v>
      </c>
      <c r="M148" s="5">
        <v>3</v>
      </c>
      <c r="N148" s="5">
        <v>3</v>
      </c>
      <c r="O148" s="5">
        <v>3</v>
      </c>
      <c r="P148" s="5">
        <v>3</v>
      </c>
      <c r="Q148" s="5">
        <v>3</v>
      </c>
      <c r="R148" s="5">
        <v>3</v>
      </c>
      <c r="S148" s="5">
        <v>3</v>
      </c>
      <c r="T148" s="5">
        <v>3</v>
      </c>
      <c r="U148" s="5">
        <v>3</v>
      </c>
      <c r="V148" s="5">
        <v>3</v>
      </c>
      <c r="W148" s="5">
        <v>3</v>
      </c>
      <c r="X148" s="33">
        <v>0</v>
      </c>
      <c r="Y148" s="5">
        <v>0</v>
      </c>
      <c r="Z148" s="5">
        <v>0</v>
      </c>
      <c r="AA148" s="5">
        <v>0</v>
      </c>
      <c r="AB148" s="5">
        <v>0</v>
      </c>
    </row>
    <row r="149" spans="1:28" ht="16.5" customHeight="1" x14ac:dyDescent="0.25">
      <c r="A149" s="56"/>
      <c r="B149" s="56"/>
      <c r="C149" s="47" t="s">
        <v>86</v>
      </c>
      <c r="D149" s="36"/>
      <c r="E149" s="48" t="s">
        <v>32</v>
      </c>
      <c r="F149" s="36"/>
      <c r="G149" s="5">
        <v>3</v>
      </c>
      <c r="H149" s="5">
        <v>3</v>
      </c>
      <c r="I149" s="5">
        <v>3</v>
      </c>
      <c r="J149" s="5">
        <v>3</v>
      </c>
      <c r="K149" s="5">
        <v>3</v>
      </c>
      <c r="L149" s="5">
        <v>3</v>
      </c>
      <c r="M149" s="5">
        <v>3</v>
      </c>
      <c r="N149" s="5">
        <v>3</v>
      </c>
      <c r="O149" s="5">
        <v>3</v>
      </c>
      <c r="P149" s="5">
        <v>3</v>
      </c>
      <c r="Q149" s="5">
        <v>3</v>
      </c>
      <c r="R149" s="5">
        <v>3</v>
      </c>
      <c r="S149" s="5">
        <v>3</v>
      </c>
      <c r="T149" s="5">
        <v>3</v>
      </c>
      <c r="U149" s="5">
        <v>3</v>
      </c>
      <c r="V149" s="5">
        <v>3</v>
      </c>
      <c r="W149" s="33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</row>
    <row r="150" spans="1:28" ht="16.5" customHeight="1" x14ac:dyDescent="0.25">
      <c r="A150" s="56"/>
      <c r="B150" s="56"/>
      <c r="C150" s="47" t="s">
        <v>87</v>
      </c>
      <c r="D150" s="36"/>
      <c r="E150" s="48" t="s">
        <v>32</v>
      </c>
      <c r="F150" s="36"/>
      <c r="G150" s="5">
        <v>3</v>
      </c>
      <c r="H150" s="5">
        <v>3</v>
      </c>
      <c r="I150" s="5">
        <v>3</v>
      </c>
      <c r="J150" s="5">
        <v>3</v>
      </c>
      <c r="K150" s="5">
        <v>3</v>
      </c>
      <c r="L150" s="5">
        <v>3</v>
      </c>
      <c r="M150" s="5">
        <v>3</v>
      </c>
      <c r="N150" s="5">
        <v>3</v>
      </c>
      <c r="O150" s="5">
        <v>3</v>
      </c>
      <c r="P150" s="5">
        <v>3</v>
      </c>
      <c r="Q150" s="5">
        <v>3</v>
      </c>
      <c r="R150" s="5">
        <v>3</v>
      </c>
      <c r="S150" s="5">
        <v>3</v>
      </c>
      <c r="T150" s="5">
        <v>3</v>
      </c>
      <c r="U150" s="5">
        <v>3</v>
      </c>
      <c r="V150" s="5">
        <v>3</v>
      </c>
      <c r="W150" s="33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</row>
    <row r="151" spans="1:28" ht="16.5" customHeight="1" x14ac:dyDescent="0.25">
      <c r="A151" s="56"/>
      <c r="B151" s="56"/>
      <c r="C151" s="47" t="s">
        <v>88</v>
      </c>
      <c r="D151" s="36"/>
      <c r="E151" s="48" t="s">
        <v>32</v>
      </c>
      <c r="F151" s="36"/>
      <c r="G151" s="5">
        <v>3</v>
      </c>
      <c r="H151" s="5">
        <v>3</v>
      </c>
      <c r="I151" s="5">
        <v>3</v>
      </c>
      <c r="J151" s="5">
        <v>3</v>
      </c>
      <c r="K151" s="5">
        <v>3</v>
      </c>
      <c r="L151" s="5">
        <v>3</v>
      </c>
      <c r="M151" s="5">
        <v>3</v>
      </c>
      <c r="N151" s="5">
        <v>3</v>
      </c>
      <c r="O151" s="5">
        <v>3</v>
      </c>
      <c r="P151" s="5">
        <v>3</v>
      </c>
      <c r="Q151" s="5">
        <v>3</v>
      </c>
      <c r="R151" s="5">
        <v>3</v>
      </c>
      <c r="S151" s="5">
        <v>3</v>
      </c>
      <c r="T151" s="5">
        <v>3</v>
      </c>
      <c r="U151" s="5">
        <v>3</v>
      </c>
      <c r="V151" s="5">
        <v>3</v>
      </c>
      <c r="W151" s="33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</row>
    <row r="152" spans="1:28" ht="16.5" customHeight="1" x14ac:dyDescent="0.25">
      <c r="A152" s="56"/>
      <c r="B152" s="56"/>
      <c r="C152" s="47" t="s">
        <v>89</v>
      </c>
      <c r="D152" s="36"/>
      <c r="E152" s="48" t="s">
        <v>32</v>
      </c>
      <c r="F152" s="36"/>
      <c r="G152" s="5">
        <v>3</v>
      </c>
      <c r="H152" s="5">
        <v>3</v>
      </c>
      <c r="I152" s="5">
        <v>3</v>
      </c>
      <c r="J152" s="5">
        <v>3</v>
      </c>
      <c r="K152" s="5">
        <v>3</v>
      </c>
      <c r="L152" s="5">
        <v>3</v>
      </c>
      <c r="M152" s="5">
        <v>3</v>
      </c>
      <c r="N152" s="5">
        <v>3</v>
      </c>
      <c r="O152" s="5">
        <v>3</v>
      </c>
      <c r="P152" s="5">
        <v>3</v>
      </c>
      <c r="Q152" s="5">
        <v>3</v>
      </c>
      <c r="R152" s="5">
        <v>3</v>
      </c>
      <c r="S152" s="5">
        <v>3</v>
      </c>
      <c r="T152" s="5">
        <v>3</v>
      </c>
      <c r="U152" s="5">
        <v>3</v>
      </c>
      <c r="V152" s="5">
        <v>3</v>
      </c>
      <c r="W152" s="33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</row>
    <row r="153" spans="1:28" ht="16.5" customHeight="1" x14ac:dyDescent="0.25">
      <c r="A153" s="56"/>
      <c r="B153" s="56"/>
      <c r="C153" s="47" t="s">
        <v>90</v>
      </c>
      <c r="D153" s="36"/>
      <c r="E153" s="48" t="s">
        <v>32</v>
      </c>
      <c r="F153" s="36"/>
      <c r="G153" s="5">
        <v>0</v>
      </c>
      <c r="H153" s="5">
        <v>3</v>
      </c>
      <c r="I153" s="5">
        <v>3</v>
      </c>
      <c r="J153" s="5">
        <v>3</v>
      </c>
      <c r="K153" s="5">
        <v>3</v>
      </c>
      <c r="L153" s="5">
        <v>3</v>
      </c>
      <c r="M153" s="5">
        <v>3</v>
      </c>
      <c r="N153" s="5">
        <v>3</v>
      </c>
      <c r="O153" s="5">
        <v>3</v>
      </c>
      <c r="P153" s="5">
        <v>3</v>
      </c>
      <c r="Q153" s="5">
        <v>3</v>
      </c>
      <c r="R153" s="5">
        <v>3</v>
      </c>
      <c r="S153" s="5">
        <v>3</v>
      </c>
      <c r="T153" s="5">
        <v>3</v>
      </c>
      <c r="U153" s="5">
        <v>3</v>
      </c>
      <c r="V153" s="5">
        <v>3</v>
      </c>
      <c r="W153" s="5">
        <v>3</v>
      </c>
      <c r="X153" s="5">
        <v>3</v>
      </c>
      <c r="Y153" s="5">
        <v>3</v>
      </c>
      <c r="Z153" s="5">
        <v>3</v>
      </c>
      <c r="AA153" s="5">
        <v>3</v>
      </c>
      <c r="AB153" s="5">
        <v>3</v>
      </c>
    </row>
    <row r="154" spans="1:28" ht="16.5" customHeight="1" x14ac:dyDescent="0.25">
      <c r="A154" s="56"/>
      <c r="B154" s="56"/>
      <c r="C154" s="47" t="s">
        <v>91</v>
      </c>
      <c r="D154" s="36"/>
      <c r="E154" s="48" t="s">
        <v>32</v>
      </c>
      <c r="F154" s="36"/>
      <c r="G154" s="5">
        <v>0</v>
      </c>
      <c r="H154" s="5">
        <v>3</v>
      </c>
      <c r="I154" s="5">
        <v>3</v>
      </c>
      <c r="J154" s="5">
        <v>3</v>
      </c>
      <c r="K154" s="5">
        <v>3</v>
      </c>
      <c r="L154" s="5">
        <v>3</v>
      </c>
      <c r="M154" s="5">
        <v>3</v>
      </c>
      <c r="N154" s="5">
        <v>3</v>
      </c>
      <c r="O154" s="5">
        <v>3</v>
      </c>
      <c r="P154" s="5">
        <v>3</v>
      </c>
      <c r="Q154" s="5">
        <v>3</v>
      </c>
      <c r="R154" s="5">
        <v>3</v>
      </c>
      <c r="S154" s="5">
        <v>3</v>
      </c>
      <c r="T154" s="5">
        <v>3</v>
      </c>
      <c r="U154" s="5">
        <v>3</v>
      </c>
      <c r="V154" s="5">
        <v>3</v>
      </c>
      <c r="W154" s="5">
        <v>3</v>
      </c>
      <c r="X154" s="5">
        <v>3</v>
      </c>
      <c r="Y154" s="5">
        <v>3</v>
      </c>
      <c r="Z154" s="5">
        <v>3</v>
      </c>
      <c r="AA154" s="5">
        <v>3</v>
      </c>
      <c r="AB154" s="5">
        <v>3</v>
      </c>
    </row>
    <row r="155" spans="1:28" ht="16.5" customHeight="1" x14ac:dyDescent="0.25">
      <c r="A155" s="56"/>
      <c r="B155" s="55"/>
      <c r="C155" s="47" t="s">
        <v>92</v>
      </c>
      <c r="D155" s="36"/>
      <c r="E155" s="48" t="s">
        <v>32</v>
      </c>
      <c r="F155" s="36"/>
      <c r="G155" s="5">
        <v>0</v>
      </c>
      <c r="H155" s="5">
        <v>4</v>
      </c>
      <c r="I155" s="5">
        <v>4</v>
      </c>
      <c r="J155" s="5">
        <v>4</v>
      </c>
      <c r="K155" s="5">
        <v>4</v>
      </c>
      <c r="L155" s="5">
        <v>4</v>
      </c>
      <c r="M155" s="5">
        <v>4</v>
      </c>
      <c r="N155" s="5">
        <v>4</v>
      </c>
      <c r="O155" s="5">
        <v>4</v>
      </c>
      <c r="P155" s="5">
        <v>4</v>
      </c>
      <c r="Q155" s="5">
        <v>4</v>
      </c>
      <c r="R155" s="5">
        <v>4</v>
      </c>
      <c r="S155" s="5">
        <v>4</v>
      </c>
      <c r="T155" s="5">
        <v>4</v>
      </c>
      <c r="U155" s="5">
        <v>4</v>
      </c>
      <c r="V155" s="5">
        <v>4</v>
      </c>
      <c r="W155" s="5">
        <v>4</v>
      </c>
      <c r="X155" s="5">
        <v>4</v>
      </c>
      <c r="Y155" s="5">
        <v>4</v>
      </c>
      <c r="Z155" s="5">
        <v>4</v>
      </c>
      <c r="AA155" s="5">
        <v>4</v>
      </c>
      <c r="AB155" s="5">
        <v>4</v>
      </c>
    </row>
    <row r="156" spans="1:28" ht="16.5" customHeight="1" x14ac:dyDescent="0.25">
      <c r="A156" s="56"/>
      <c r="B156" s="54" t="s">
        <v>93</v>
      </c>
      <c r="C156" s="47" t="s">
        <v>94</v>
      </c>
      <c r="D156" s="36"/>
      <c r="E156" s="48" t="s">
        <v>95</v>
      </c>
      <c r="F156" s="36"/>
      <c r="G156" s="5">
        <v>2</v>
      </c>
      <c r="H156" s="5">
        <v>2</v>
      </c>
      <c r="I156" s="5">
        <v>2</v>
      </c>
      <c r="J156" s="5">
        <v>2</v>
      </c>
      <c r="K156" s="5">
        <v>2</v>
      </c>
      <c r="L156" s="5">
        <v>2</v>
      </c>
      <c r="M156" s="5">
        <v>2</v>
      </c>
      <c r="N156" s="5">
        <v>2</v>
      </c>
      <c r="O156" s="5">
        <v>2</v>
      </c>
      <c r="P156" s="5">
        <v>2</v>
      </c>
      <c r="Q156" s="5">
        <v>2</v>
      </c>
      <c r="R156" s="5">
        <v>2</v>
      </c>
      <c r="S156" s="5">
        <v>2</v>
      </c>
      <c r="T156" s="5">
        <v>2</v>
      </c>
      <c r="U156" s="5">
        <v>2</v>
      </c>
      <c r="V156" s="5">
        <v>2</v>
      </c>
      <c r="W156" s="5">
        <v>2</v>
      </c>
      <c r="X156" s="5">
        <v>2</v>
      </c>
      <c r="Y156" s="5">
        <v>2</v>
      </c>
      <c r="Z156" s="32">
        <v>0</v>
      </c>
      <c r="AA156" s="5">
        <v>0</v>
      </c>
      <c r="AB156" s="5">
        <v>0</v>
      </c>
    </row>
    <row r="157" spans="1:28" ht="16.5" customHeight="1" x14ac:dyDescent="0.25">
      <c r="A157" s="56"/>
      <c r="B157" s="56"/>
      <c r="C157" s="47" t="s">
        <v>96</v>
      </c>
      <c r="D157" s="36"/>
      <c r="E157" s="48" t="s">
        <v>95</v>
      </c>
      <c r="F157" s="36"/>
      <c r="G157" s="5">
        <v>2</v>
      </c>
      <c r="H157" s="5">
        <v>2</v>
      </c>
      <c r="I157" s="5">
        <v>2</v>
      </c>
      <c r="J157" s="5">
        <v>2</v>
      </c>
      <c r="K157" s="5">
        <v>2</v>
      </c>
      <c r="L157" s="5">
        <v>2</v>
      </c>
      <c r="M157" s="5">
        <v>2</v>
      </c>
      <c r="N157" s="5">
        <v>2</v>
      </c>
      <c r="O157" s="5">
        <v>2</v>
      </c>
      <c r="P157" s="5">
        <v>2</v>
      </c>
      <c r="Q157" s="5">
        <v>2</v>
      </c>
      <c r="R157" s="5">
        <v>2</v>
      </c>
      <c r="S157" s="5">
        <v>2</v>
      </c>
      <c r="T157" s="5">
        <v>2</v>
      </c>
      <c r="U157" s="5">
        <v>2</v>
      </c>
      <c r="V157" s="5">
        <v>2</v>
      </c>
      <c r="W157" s="5">
        <v>2</v>
      </c>
      <c r="X157" s="5">
        <v>2</v>
      </c>
      <c r="Y157" s="5">
        <v>2</v>
      </c>
      <c r="Z157" s="32">
        <v>0</v>
      </c>
      <c r="AA157" s="5">
        <v>0</v>
      </c>
      <c r="AB157" s="5">
        <v>0</v>
      </c>
    </row>
    <row r="158" spans="1:28" ht="16.5" customHeight="1" x14ac:dyDescent="0.25">
      <c r="A158" s="56"/>
      <c r="B158" s="56"/>
      <c r="C158" s="47" t="s">
        <v>97</v>
      </c>
      <c r="D158" s="36"/>
      <c r="E158" s="48" t="s">
        <v>95</v>
      </c>
      <c r="F158" s="36"/>
      <c r="G158" s="5">
        <v>2</v>
      </c>
      <c r="H158" s="5">
        <v>2</v>
      </c>
      <c r="I158" s="5">
        <v>2</v>
      </c>
      <c r="J158" s="5">
        <v>2</v>
      </c>
      <c r="K158" s="5">
        <v>2</v>
      </c>
      <c r="L158" s="5">
        <v>2</v>
      </c>
      <c r="M158" s="5">
        <v>2</v>
      </c>
      <c r="N158" s="5">
        <v>2</v>
      </c>
      <c r="O158" s="5">
        <v>2</v>
      </c>
      <c r="P158" s="5">
        <v>2</v>
      </c>
      <c r="Q158" s="5">
        <v>2</v>
      </c>
      <c r="R158" s="5">
        <v>2</v>
      </c>
      <c r="S158" s="5">
        <v>2</v>
      </c>
      <c r="T158" s="5">
        <v>2</v>
      </c>
      <c r="U158" s="5">
        <v>2</v>
      </c>
      <c r="V158" s="5">
        <v>2</v>
      </c>
      <c r="W158" s="5">
        <v>2</v>
      </c>
      <c r="X158" s="5">
        <v>2</v>
      </c>
      <c r="Y158" s="5">
        <v>2</v>
      </c>
      <c r="Z158" s="32">
        <v>0</v>
      </c>
      <c r="AA158" s="5">
        <v>0</v>
      </c>
      <c r="AB158" s="5">
        <v>0</v>
      </c>
    </row>
    <row r="159" spans="1:28" ht="16.5" customHeight="1" x14ac:dyDescent="0.25">
      <c r="A159" s="56"/>
      <c r="B159" s="56"/>
      <c r="C159" s="47" t="s">
        <v>98</v>
      </c>
      <c r="D159" s="36"/>
      <c r="E159" s="48" t="s">
        <v>95</v>
      </c>
      <c r="F159" s="36"/>
      <c r="G159" s="5">
        <v>0</v>
      </c>
      <c r="H159" s="5">
        <v>2</v>
      </c>
      <c r="I159" s="5">
        <v>2</v>
      </c>
      <c r="J159" s="5">
        <v>2</v>
      </c>
      <c r="K159" s="5">
        <v>2</v>
      </c>
      <c r="L159" s="5">
        <v>2</v>
      </c>
      <c r="M159" s="5">
        <v>2</v>
      </c>
      <c r="N159" s="5">
        <v>2</v>
      </c>
      <c r="O159" s="5">
        <v>2</v>
      </c>
      <c r="P159" s="5">
        <v>2</v>
      </c>
      <c r="Q159" s="5">
        <v>2</v>
      </c>
      <c r="R159" s="5">
        <v>2</v>
      </c>
      <c r="S159" s="5">
        <v>2</v>
      </c>
      <c r="T159" s="5">
        <v>2</v>
      </c>
      <c r="U159" s="5">
        <v>2</v>
      </c>
      <c r="V159" s="5">
        <v>2</v>
      </c>
      <c r="W159" s="5">
        <v>2</v>
      </c>
      <c r="X159" s="5">
        <v>2</v>
      </c>
      <c r="Y159" s="5">
        <v>2</v>
      </c>
      <c r="Z159" s="5">
        <v>2</v>
      </c>
      <c r="AA159" s="5">
        <v>2</v>
      </c>
      <c r="AB159" s="5">
        <v>2</v>
      </c>
    </row>
    <row r="160" spans="1:28" ht="16.5" customHeight="1" x14ac:dyDescent="0.25">
      <c r="A160" s="56"/>
      <c r="B160" s="56"/>
      <c r="C160" s="47" t="s">
        <v>99</v>
      </c>
      <c r="D160" s="36"/>
      <c r="E160" s="48" t="s">
        <v>95</v>
      </c>
      <c r="F160" s="36"/>
      <c r="G160" s="5">
        <v>0</v>
      </c>
      <c r="H160" s="5">
        <v>2</v>
      </c>
      <c r="I160" s="5">
        <v>2</v>
      </c>
      <c r="J160" s="5">
        <v>2</v>
      </c>
      <c r="K160" s="5">
        <v>2</v>
      </c>
      <c r="L160" s="5">
        <v>2</v>
      </c>
      <c r="M160" s="5">
        <v>2</v>
      </c>
      <c r="N160" s="5">
        <v>2</v>
      </c>
      <c r="O160" s="5">
        <v>2</v>
      </c>
      <c r="P160" s="5">
        <v>2</v>
      </c>
      <c r="Q160" s="5">
        <v>2</v>
      </c>
      <c r="R160" s="5">
        <v>2</v>
      </c>
      <c r="S160" s="5">
        <v>2</v>
      </c>
      <c r="T160" s="5">
        <v>2</v>
      </c>
      <c r="U160" s="5">
        <v>2</v>
      </c>
      <c r="V160" s="5">
        <v>2</v>
      </c>
      <c r="W160" s="5">
        <v>2</v>
      </c>
      <c r="X160" s="5">
        <v>2</v>
      </c>
      <c r="Y160" s="5">
        <v>2</v>
      </c>
      <c r="Z160" s="5">
        <v>2</v>
      </c>
      <c r="AA160" s="5">
        <v>2</v>
      </c>
      <c r="AB160" s="5">
        <v>2</v>
      </c>
    </row>
    <row r="161" spans="1:28" ht="16.5" customHeight="1" x14ac:dyDescent="0.25">
      <c r="A161" s="56"/>
      <c r="B161" s="56"/>
      <c r="C161" s="47" t="s">
        <v>100</v>
      </c>
      <c r="D161" s="36"/>
      <c r="E161" s="48" t="s">
        <v>95</v>
      </c>
      <c r="F161" s="36"/>
      <c r="G161" s="5">
        <v>2</v>
      </c>
      <c r="H161" s="5">
        <v>2</v>
      </c>
      <c r="I161" s="5">
        <v>2</v>
      </c>
      <c r="J161" s="5">
        <v>2</v>
      </c>
      <c r="K161" s="5">
        <v>2</v>
      </c>
      <c r="L161" s="5">
        <v>2</v>
      </c>
      <c r="M161" s="5">
        <v>2</v>
      </c>
      <c r="N161" s="5">
        <v>2</v>
      </c>
      <c r="O161" s="5">
        <v>2</v>
      </c>
      <c r="P161" s="5">
        <v>2</v>
      </c>
      <c r="Q161" s="5">
        <v>2</v>
      </c>
      <c r="R161" s="5">
        <v>2</v>
      </c>
      <c r="S161" s="5">
        <v>2</v>
      </c>
      <c r="T161" s="5">
        <v>2</v>
      </c>
      <c r="U161" s="5">
        <v>2</v>
      </c>
      <c r="V161" s="5">
        <v>2</v>
      </c>
      <c r="W161" s="5">
        <v>2</v>
      </c>
      <c r="X161" s="5">
        <v>2</v>
      </c>
      <c r="Y161" s="5">
        <v>2</v>
      </c>
      <c r="Z161" s="32">
        <v>0</v>
      </c>
      <c r="AA161" s="5">
        <v>0</v>
      </c>
      <c r="AB161" s="5">
        <v>0</v>
      </c>
    </row>
    <row r="162" spans="1:28" ht="16.5" customHeight="1" x14ac:dyDescent="0.25">
      <c r="A162" s="56"/>
      <c r="B162" s="56"/>
      <c r="C162" s="47" t="s">
        <v>101</v>
      </c>
      <c r="D162" s="36"/>
      <c r="E162" s="48" t="s">
        <v>95</v>
      </c>
      <c r="F162" s="36"/>
      <c r="G162" s="5">
        <v>0</v>
      </c>
      <c r="H162" s="5">
        <v>2</v>
      </c>
      <c r="I162" s="5">
        <v>2</v>
      </c>
      <c r="J162" s="5">
        <v>2</v>
      </c>
      <c r="K162" s="5">
        <v>2</v>
      </c>
      <c r="L162" s="5">
        <v>2</v>
      </c>
      <c r="M162" s="5">
        <v>2</v>
      </c>
      <c r="N162" s="5">
        <v>2</v>
      </c>
      <c r="O162" s="5">
        <v>2</v>
      </c>
      <c r="P162" s="5">
        <v>2</v>
      </c>
      <c r="Q162" s="5">
        <v>2</v>
      </c>
      <c r="R162" s="5">
        <v>2</v>
      </c>
      <c r="S162" s="5">
        <v>2</v>
      </c>
      <c r="T162" s="5">
        <v>2</v>
      </c>
      <c r="U162" s="5">
        <v>2</v>
      </c>
      <c r="V162" s="5">
        <v>2</v>
      </c>
      <c r="W162" s="5">
        <v>2</v>
      </c>
      <c r="X162" s="5">
        <v>2</v>
      </c>
      <c r="Y162" s="5">
        <v>2</v>
      </c>
      <c r="Z162" s="5">
        <v>2</v>
      </c>
      <c r="AA162" s="5">
        <v>2</v>
      </c>
      <c r="AB162" s="5">
        <v>2</v>
      </c>
    </row>
    <row r="163" spans="1:28" ht="16.5" customHeight="1" x14ac:dyDescent="0.25">
      <c r="A163" s="56"/>
      <c r="B163" s="56"/>
      <c r="C163" s="47" t="s">
        <v>102</v>
      </c>
      <c r="D163" s="36"/>
      <c r="E163" s="48" t="s">
        <v>95</v>
      </c>
      <c r="F163" s="36"/>
      <c r="G163" s="5">
        <v>0</v>
      </c>
      <c r="H163" s="5">
        <v>2</v>
      </c>
      <c r="I163" s="5">
        <v>2</v>
      </c>
      <c r="J163" s="5">
        <v>2</v>
      </c>
      <c r="K163" s="5">
        <v>2</v>
      </c>
      <c r="L163" s="5">
        <v>2</v>
      </c>
      <c r="M163" s="5">
        <v>2</v>
      </c>
      <c r="N163" s="5">
        <v>2</v>
      </c>
      <c r="O163" s="5">
        <v>2</v>
      </c>
      <c r="P163" s="5">
        <v>2</v>
      </c>
      <c r="Q163" s="5">
        <v>2</v>
      </c>
      <c r="R163" s="5">
        <v>2</v>
      </c>
      <c r="S163" s="5">
        <v>2</v>
      </c>
      <c r="T163" s="5">
        <v>2</v>
      </c>
      <c r="U163" s="5">
        <v>2</v>
      </c>
      <c r="V163" s="5">
        <v>2</v>
      </c>
      <c r="W163" s="5">
        <v>2</v>
      </c>
      <c r="X163" s="5">
        <v>2</v>
      </c>
      <c r="Y163" s="5">
        <v>2</v>
      </c>
      <c r="Z163" s="5">
        <v>2</v>
      </c>
      <c r="AA163" s="5">
        <v>2</v>
      </c>
      <c r="AB163" s="5">
        <v>2</v>
      </c>
    </row>
    <row r="164" spans="1:28" ht="16.5" customHeight="1" x14ac:dyDescent="0.25">
      <c r="A164" s="56"/>
      <c r="B164" s="56"/>
      <c r="C164" s="47" t="s">
        <v>103</v>
      </c>
      <c r="D164" s="36"/>
      <c r="E164" s="48" t="s">
        <v>95</v>
      </c>
      <c r="F164" s="36"/>
      <c r="G164" s="5">
        <v>0</v>
      </c>
      <c r="H164" s="5">
        <v>2</v>
      </c>
      <c r="I164" s="5">
        <v>2</v>
      </c>
      <c r="J164" s="5">
        <v>2</v>
      </c>
      <c r="K164" s="5">
        <v>2</v>
      </c>
      <c r="L164" s="5">
        <v>2</v>
      </c>
      <c r="M164" s="5">
        <v>2</v>
      </c>
      <c r="N164" s="5">
        <v>2</v>
      </c>
      <c r="O164" s="5">
        <v>2</v>
      </c>
      <c r="P164" s="5">
        <v>2</v>
      </c>
      <c r="Q164" s="5">
        <v>2</v>
      </c>
      <c r="R164" s="5">
        <v>2</v>
      </c>
      <c r="S164" s="5">
        <v>2</v>
      </c>
      <c r="T164" s="5">
        <v>2</v>
      </c>
      <c r="U164" s="5">
        <v>2</v>
      </c>
      <c r="V164" s="5">
        <v>2</v>
      </c>
      <c r="W164" s="5">
        <v>2</v>
      </c>
      <c r="X164" s="5">
        <v>2</v>
      </c>
      <c r="Y164" s="5">
        <v>2</v>
      </c>
      <c r="Z164" s="5">
        <v>2</v>
      </c>
      <c r="AA164" s="5">
        <v>2</v>
      </c>
      <c r="AB164" s="5">
        <v>2</v>
      </c>
    </row>
    <row r="165" spans="1:28" ht="16.5" customHeight="1" x14ac:dyDescent="0.25">
      <c r="A165" s="56"/>
      <c r="B165" s="55"/>
      <c r="C165" s="47" t="s">
        <v>104</v>
      </c>
      <c r="D165" s="36"/>
      <c r="E165" s="48" t="s">
        <v>95</v>
      </c>
      <c r="F165" s="36"/>
      <c r="G165" s="5">
        <v>0</v>
      </c>
      <c r="H165" s="5">
        <v>3</v>
      </c>
      <c r="I165" s="5">
        <v>3</v>
      </c>
      <c r="J165" s="5">
        <v>3</v>
      </c>
      <c r="K165" s="5">
        <v>3</v>
      </c>
      <c r="L165" s="5">
        <v>3</v>
      </c>
      <c r="M165" s="5">
        <v>3</v>
      </c>
      <c r="N165" s="5">
        <v>3</v>
      </c>
      <c r="O165" s="5">
        <v>3</v>
      </c>
      <c r="P165" s="5">
        <v>3</v>
      </c>
      <c r="Q165" s="5">
        <v>3</v>
      </c>
      <c r="R165" s="5">
        <v>3</v>
      </c>
      <c r="S165" s="5">
        <v>3</v>
      </c>
      <c r="T165" s="5">
        <v>3</v>
      </c>
      <c r="U165" s="5">
        <v>3</v>
      </c>
      <c r="V165" s="5">
        <v>3</v>
      </c>
      <c r="W165" s="5">
        <v>3</v>
      </c>
      <c r="X165" s="5">
        <v>3</v>
      </c>
      <c r="Y165" s="5">
        <v>3</v>
      </c>
      <c r="Z165" s="5">
        <v>3</v>
      </c>
      <c r="AA165" s="5">
        <v>3</v>
      </c>
      <c r="AB165" s="5">
        <v>3</v>
      </c>
    </row>
    <row r="166" spans="1:28" ht="16.5" customHeight="1" x14ac:dyDescent="0.25">
      <c r="A166" s="56"/>
      <c r="B166" s="54" t="s">
        <v>105</v>
      </c>
      <c r="C166" s="47" t="s">
        <v>106</v>
      </c>
      <c r="D166" s="36"/>
      <c r="E166" s="48" t="s">
        <v>32</v>
      </c>
      <c r="F166" s="36"/>
      <c r="G166" s="5">
        <v>2</v>
      </c>
      <c r="H166" s="5">
        <v>2</v>
      </c>
      <c r="I166" s="5">
        <v>2</v>
      </c>
      <c r="J166" s="5">
        <v>2</v>
      </c>
      <c r="K166" s="5">
        <v>2</v>
      </c>
      <c r="L166" s="5">
        <v>2</v>
      </c>
      <c r="M166" s="5">
        <v>2</v>
      </c>
      <c r="N166" s="5">
        <v>2</v>
      </c>
      <c r="O166" s="5">
        <v>2</v>
      </c>
      <c r="P166" s="5">
        <v>2</v>
      </c>
      <c r="Q166" s="5">
        <v>2</v>
      </c>
      <c r="R166" s="5">
        <v>2</v>
      </c>
      <c r="S166" s="5">
        <v>2</v>
      </c>
      <c r="T166" s="5">
        <v>2</v>
      </c>
      <c r="U166" s="5">
        <v>2</v>
      </c>
      <c r="V166" s="5">
        <v>2</v>
      </c>
      <c r="W166" s="5">
        <v>2</v>
      </c>
      <c r="X166" s="5">
        <v>2</v>
      </c>
      <c r="Y166" s="5">
        <v>2</v>
      </c>
      <c r="Z166" s="5">
        <v>2</v>
      </c>
      <c r="AA166" s="32">
        <v>0</v>
      </c>
      <c r="AB166" s="5">
        <v>0</v>
      </c>
    </row>
    <row r="167" spans="1:28" ht="16.5" customHeight="1" x14ac:dyDescent="0.25">
      <c r="A167" s="56"/>
      <c r="B167" s="56"/>
      <c r="C167" s="47" t="s">
        <v>107</v>
      </c>
      <c r="D167" s="36"/>
      <c r="E167" s="48" t="s">
        <v>32</v>
      </c>
      <c r="F167" s="36"/>
      <c r="G167" s="5">
        <v>2</v>
      </c>
      <c r="H167" s="5">
        <v>2</v>
      </c>
      <c r="I167" s="5">
        <v>2</v>
      </c>
      <c r="J167" s="5">
        <v>2</v>
      </c>
      <c r="K167" s="5">
        <v>2</v>
      </c>
      <c r="L167" s="5">
        <v>2</v>
      </c>
      <c r="M167" s="5">
        <v>2</v>
      </c>
      <c r="N167" s="5">
        <v>2</v>
      </c>
      <c r="O167" s="5">
        <v>2</v>
      </c>
      <c r="P167" s="5">
        <v>2</v>
      </c>
      <c r="Q167" s="5">
        <v>2</v>
      </c>
      <c r="R167" s="5">
        <v>2</v>
      </c>
      <c r="S167" s="5">
        <v>2</v>
      </c>
      <c r="T167" s="5">
        <v>2</v>
      </c>
      <c r="U167" s="5">
        <v>2</v>
      </c>
      <c r="V167" s="5">
        <v>2</v>
      </c>
      <c r="W167" s="5">
        <v>2</v>
      </c>
      <c r="X167" s="5">
        <v>2</v>
      </c>
      <c r="Y167" s="5">
        <v>2</v>
      </c>
      <c r="Z167" s="5">
        <v>2</v>
      </c>
      <c r="AA167" s="32">
        <v>0</v>
      </c>
      <c r="AB167" s="5">
        <v>0</v>
      </c>
    </row>
    <row r="168" spans="1:28" ht="16.5" customHeight="1" x14ac:dyDescent="0.25">
      <c r="A168" s="56"/>
      <c r="B168" s="56"/>
      <c r="C168" s="47" t="s">
        <v>108</v>
      </c>
      <c r="D168" s="36"/>
      <c r="E168" s="48" t="s">
        <v>32</v>
      </c>
      <c r="F168" s="36"/>
      <c r="G168" s="5">
        <v>2</v>
      </c>
      <c r="H168" s="5">
        <v>2</v>
      </c>
      <c r="I168" s="5">
        <v>2</v>
      </c>
      <c r="J168" s="5">
        <v>2</v>
      </c>
      <c r="K168" s="5">
        <v>2</v>
      </c>
      <c r="L168" s="5">
        <v>2</v>
      </c>
      <c r="M168" s="5">
        <v>2</v>
      </c>
      <c r="N168" s="5">
        <v>2</v>
      </c>
      <c r="O168" s="5">
        <v>2</v>
      </c>
      <c r="P168" s="5">
        <v>2</v>
      </c>
      <c r="Q168" s="5">
        <v>2</v>
      </c>
      <c r="R168" s="5">
        <v>2</v>
      </c>
      <c r="S168" s="5">
        <v>2</v>
      </c>
      <c r="T168" s="5">
        <v>2</v>
      </c>
      <c r="U168" s="5">
        <v>2</v>
      </c>
      <c r="V168" s="5">
        <v>2</v>
      </c>
      <c r="W168" s="5">
        <v>2</v>
      </c>
      <c r="X168" s="5">
        <v>2</v>
      </c>
      <c r="Y168" s="5">
        <v>2</v>
      </c>
      <c r="Z168" s="5">
        <v>2</v>
      </c>
      <c r="AA168" s="32">
        <v>0</v>
      </c>
      <c r="AB168" s="5">
        <v>0</v>
      </c>
    </row>
    <row r="169" spans="1:28" ht="16.5" customHeight="1" x14ac:dyDescent="0.25">
      <c r="A169" s="56"/>
      <c r="B169" s="56"/>
      <c r="C169" s="47" t="s">
        <v>109</v>
      </c>
      <c r="D169" s="36"/>
      <c r="E169" s="48" t="s">
        <v>32</v>
      </c>
      <c r="F169" s="36"/>
      <c r="G169" s="5">
        <v>0</v>
      </c>
      <c r="H169" s="5">
        <v>2</v>
      </c>
      <c r="I169" s="5">
        <v>2</v>
      </c>
      <c r="J169" s="5">
        <v>2</v>
      </c>
      <c r="K169" s="5">
        <v>2</v>
      </c>
      <c r="L169" s="5">
        <v>2</v>
      </c>
      <c r="M169" s="5">
        <v>2</v>
      </c>
      <c r="N169" s="5">
        <v>2</v>
      </c>
      <c r="O169" s="5">
        <v>2</v>
      </c>
      <c r="P169" s="5">
        <v>2</v>
      </c>
      <c r="Q169" s="5">
        <v>2</v>
      </c>
      <c r="R169" s="5">
        <v>2</v>
      </c>
      <c r="S169" s="5">
        <v>2</v>
      </c>
      <c r="T169" s="5">
        <v>2</v>
      </c>
      <c r="U169" s="5">
        <v>2</v>
      </c>
      <c r="V169" s="5">
        <v>2</v>
      </c>
      <c r="W169" s="5">
        <v>2</v>
      </c>
      <c r="X169" s="5">
        <v>2</v>
      </c>
      <c r="Y169" s="5">
        <v>2</v>
      </c>
      <c r="Z169" s="5">
        <v>2</v>
      </c>
      <c r="AA169" s="5">
        <v>2</v>
      </c>
      <c r="AB169" s="5">
        <v>2</v>
      </c>
    </row>
    <row r="170" spans="1:28" ht="16.5" customHeight="1" x14ac:dyDescent="0.25">
      <c r="A170" s="56"/>
      <c r="B170" s="56"/>
      <c r="C170" s="47" t="s">
        <v>110</v>
      </c>
      <c r="D170" s="36"/>
      <c r="E170" s="48" t="s">
        <v>32</v>
      </c>
      <c r="F170" s="36"/>
      <c r="G170" s="5">
        <v>0</v>
      </c>
      <c r="H170" s="5">
        <v>2</v>
      </c>
      <c r="I170" s="5">
        <v>2</v>
      </c>
      <c r="J170" s="5">
        <v>2</v>
      </c>
      <c r="K170" s="5">
        <v>2</v>
      </c>
      <c r="L170" s="5">
        <v>2</v>
      </c>
      <c r="M170" s="5">
        <v>2</v>
      </c>
      <c r="N170" s="5">
        <v>2</v>
      </c>
      <c r="O170" s="5">
        <v>2</v>
      </c>
      <c r="P170" s="5">
        <v>2</v>
      </c>
      <c r="Q170" s="5">
        <v>2</v>
      </c>
      <c r="R170" s="5">
        <v>2</v>
      </c>
      <c r="S170" s="5">
        <v>2</v>
      </c>
      <c r="T170" s="5">
        <v>2</v>
      </c>
      <c r="U170" s="5">
        <v>2</v>
      </c>
      <c r="V170" s="5">
        <v>2</v>
      </c>
      <c r="W170" s="5">
        <v>2</v>
      </c>
      <c r="X170" s="5">
        <v>2</v>
      </c>
      <c r="Y170" s="5">
        <v>2</v>
      </c>
      <c r="Z170" s="5">
        <v>2</v>
      </c>
      <c r="AA170" s="5">
        <v>2</v>
      </c>
      <c r="AB170" s="5">
        <v>2</v>
      </c>
    </row>
    <row r="171" spans="1:28" ht="16.5" customHeight="1" x14ac:dyDescent="0.25">
      <c r="A171" s="56"/>
      <c r="B171" s="56"/>
      <c r="C171" s="47" t="s">
        <v>111</v>
      </c>
      <c r="D171" s="36"/>
      <c r="E171" s="48" t="s">
        <v>32</v>
      </c>
      <c r="F171" s="36"/>
      <c r="G171" s="5">
        <v>2</v>
      </c>
      <c r="H171" s="5">
        <v>2</v>
      </c>
      <c r="I171" s="5">
        <v>2</v>
      </c>
      <c r="J171" s="5">
        <v>2</v>
      </c>
      <c r="K171" s="5">
        <v>2</v>
      </c>
      <c r="L171" s="5">
        <v>2</v>
      </c>
      <c r="M171" s="5">
        <v>2</v>
      </c>
      <c r="N171" s="5">
        <v>2</v>
      </c>
      <c r="O171" s="5">
        <v>2</v>
      </c>
      <c r="P171" s="5">
        <v>2</v>
      </c>
      <c r="Q171" s="5">
        <v>2</v>
      </c>
      <c r="R171" s="5">
        <v>2</v>
      </c>
      <c r="S171" s="5">
        <v>2</v>
      </c>
      <c r="T171" s="5">
        <v>2</v>
      </c>
      <c r="U171" s="5">
        <v>2</v>
      </c>
      <c r="V171" s="5">
        <v>2</v>
      </c>
      <c r="W171" s="5">
        <v>2</v>
      </c>
      <c r="X171" s="5">
        <v>2</v>
      </c>
      <c r="Y171" s="5">
        <v>2</v>
      </c>
      <c r="Z171" s="5">
        <v>2</v>
      </c>
      <c r="AA171" s="32">
        <v>0</v>
      </c>
      <c r="AB171" s="5">
        <v>0</v>
      </c>
    </row>
    <row r="172" spans="1:28" ht="16.5" customHeight="1" x14ac:dyDescent="0.25">
      <c r="A172" s="56"/>
      <c r="B172" s="56"/>
      <c r="C172" s="47" t="s">
        <v>112</v>
      </c>
      <c r="D172" s="36"/>
      <c r="E172" s="48" t="s">
        <v>32</v>
      </c>
      <c r="F172" s="36"/>
      <c r="G172" s="5">
        <v>0</v>
      </c>
      <c r="H172" s="5">
        <v>2</v>
      </c>
      <c r="I172" s="5">
        <v>2</v>
      </c>
      <c r="J172" s="5">
        <v>2</v>
      </c>
      <c r="K172" s="5">
        <v>2</v>
      </c>
      <c r="L172" s="5">
        <v>2</v>
      </c>
      <c r="M172" s="5">
        <v>2</v>
      </c>
      <c r="N172" s="5">
        <v>2</v>
      </c>
      <c r="O172" s="5">
        <v>2</v>
      </c>
      <c r="P172" s="5">
        <v>2</v>
      </c>
      <c r="Q172" s="5">
        <v>2</v>
      </c>
      <c r="R172" s="5">
        <v>2</v>
      </c>
      <c r="S172" s="5">
        <v>2</v>
      </c>
      <c r="T172" s="5">
        <v>2</v>
      </c>
      <c r="U172" s="5">
        <v>2</v>
      </c>
      <c r="V172" s="5">
        <v>2</v>
      </c>
      <c r="W172" s="5">
        <v>2</v>
      </c>
      <c r="X172" s="5">
        <v>2</v>
      </c>
      <c r="Y172" s="5">
        <v>2</v>
      </c>
      <c r="Z172" s="5">
        <v>2</v>
      </c>
      <c r="AA172" s="5">
        <v>2</v>
      </c>
      <c r="AB172" s="5">
        <v>2</v>
      </c>
    </row>
    <row r="173" spans="1:28" ht="16.5" customHeight="1" x14ac:dyDescent="0.25">
      <c r="A173" s="56"/>
      <c r="B173" s="56"/>
      <c r="C173" s="47" t="s">
        <v>113</v>
      </c>
      <c r="D173" s="36"/>
      <c r="E173" s="48" t="s">
        <v>32</v>
      </c>
      <c r="F173" s="36"/>
      <c r="G173" s="5">
        <v>0</v>
      </c>
      <c r="H173" s="5">
        <v>2</v>
      </c>
      <c r="I173" s="5">
        <v>2</v>
      </c>
      <c r="J173" s="5">
        <v>2</v>
      </c>
      <c r="K173" s="5">
        <v>2</v>
      </c>
      <c r="L173" s="5">
        <v>2</v>
      </c>
      <c r="M173" s="5">
        <v>2</v>
      </c>
      <c r="N173" s="5">
        <v>2</v>
      </c>
      <c r="O173" s="5">
        <v>2</v>
      </c>
      <c r="P173" s="5">
        <v>2</v>
      </c>
      <c r="Q173" s="5">
        <v>2</v>
      </c>
      <c r="R173" s="5">
        <v>2</v>
      </c>
      <c r="S173" s="5">
        <v>2</v>
      </c>
      <c r="T173" s="5">
        <v>2</v>
      </c>
      <c r="U173" s="5">
        <v>2</v>
      </c>
      <c r="V173" s="5">
        <v>2</v>
      </c>
      <c r="W173" s="5">
        <v>2</v>
      </c>
      <c r="X173" s="5">
        <v>2</v>
      </c>
      <c r="Y173" s="5">
        <v>2</v>
      </c>
      <c r="Z173" s="5">
        <v>2</v>
      </c>
      <c r="AA173" s="5">
        <v>2</v>
      </c>
      <c r="AB173" s="5">
        <v>2</v>
      </c>
    </row>
    <row r="174" spans="1:28" ht="16.5" customHeight="1" x14ac:dyDescent="0.25">
      <c r="A174" s="56"/>
      <c r="B174" s="56"/>
      <c r="C174" s="47" t="s">
        <v>114</v>
      </c>
      <c r="D174" s="36"/>
      <c r="E174" s="48" t="s">
        <v>32</v>
      </c>
      <c r="F174" s="36"/>
      <c r="G174" s="5">
        <v>0</v>
      </c>
      <c r="H174" s="5">
        <v>2</v>
      </c>
      <c r="I174" s="5">
        <v>2</v>
      </c>
      <c r="J174" s="5">
        <v>2</v>
      </c>
      <c r="K174" s="5">
        <v>2</v>
      </c>
      <c r="L174" s="5">
        <v>2</v>
      </c>
      <c r="M174" s="5">
        <v>2</v>
      </c>
      <c r="N174" s="5">
        <v>2</v>
      </c>
      <c r="O174" s="5">
        <v>2</v>
      </c>
      <c r="P174" s="5">
        <v>2</v>
      </c>
      <c r="Q174" s="5">
        <v>2</v>
      </c>
      <c r="R174" s="5">
        <v>2</v>
      </c>
      <c r="S174" s="5">
        <v>2</v>
      </c>
      <c r="T174" s="5">
        <v>2</v>
      </c>
      <c r="U174" s="5">
        <v>2</v>
      </c>
      <c r="V174" s="5">
        <v>2</v>
      </c>
      <c r="W174" s="5">
        <v>2</v>
      </c>
      <c r="X174" s="5">
        <v>2</v>
      </c>
      <c r="Y174" s="5">
        <v>2</v>
      </c>
      <c r="Z174" s="5">
        <v>2</v>
      </c>
      <c r="AA174" s="5">
        <v>2</v>
      </c>
      <c r="AB174" s="5">
        <v>2</v>
      </c>
    </row>
    <row r="175" spans="1:28" ht="16.5" customHeight="1" x14ac:dyDescent="0.25">
      <c r="A175" s="55"/>
      <c r="B175" s="55"/>
      <c r="C175" s="47" t="s">
        <v>115</v>
      </c>
      <c r="D175" s="36"/>
      <c r="E175" s="48" t="s">
        <v>32</v>
      </c>
      <c r="F175" s="36"/>
      <c r="G175" s="5">
        <v>0</v>
      </c>
      <c r="H175" s="5">
        <v>3</v>
      </c>
      <c r="I175" s="5">
        <v>3</v>
      </c>
      <c r="J175" s="5">
        <v>3</v>
      </c>
      <c r="K175" s="5">
        <v>3</v>
      </c>
      <c r="L175" s="5">
        <v>3</v>
      </c>
      <c r="M175" s="5">
        <v>3</v>
      </c>
      <c r="N175" s="5">
        <v>3</v>
      </c>
      <c r="O175" s="5">
        <v>3</v>
      </c>
      <c r="P175" s="5">
        <v>3</v>
      </c>
      <c r="Q175" s="5">
        <v>3</v>
      </c>
      <c r="R175" s="5">
        <v>3</v>
      </c>
      <c r="S175" s="5">
        <v>3</v>
      </c>
      <c r="T175" s="5">
        <v>3</v>
      </c>
      <c r="U175" s="5">
        <v>3</v>
      </c>
      <c r="V175" s="5">
        <v>3</v>
      </c>
      <c r="W175" s="5">
        <v>3</v>
      </c>
      <c r="X175" s="5">
        <v>3</v>
      </c>
      <c r="Y175" s="5">
        <v>3</v>
      </c>
      <c r="Z175" s="5">
        <v>3</v>
      </c>
      <c r="AA175" s="5">
        <v>3</v>
      </c>
      <c r="AB175" s="5">
        <v>3</v>
      </c>
    </row>
    <row r="176" spans="1:28" ht="16.5" customHeight="1" x14ac:dyDescent="0.25">
      <c r="A176" s="48"/>
      <c r="B176" s="54" t="s">
        <v>116</v>
      </c>
      <c r="C176" s="47" t="s">
        <v>117</v>
      </c>
      <c r="D176" s="36"/>
      <c r="E176" s="48" t="s">
        <v>28</v>
      </c>
      <c r="F176" s="36"/>
      <c r="G176" s="5">
        <v>0</v>
      </c>
      <c r="H176" s="5">
        <v>5</v>
      </c>
      <c r="I176" s="5">
        <v>5</v>
      </c>
      <c r="J176" s="5">
        <v>5</v>
      </c>
      <c r="K176" s="5">
        <v>5</v>
      </c>
      <c r="L176" s="5">
        <v>5</v>
      </c>
      <c r="M176" s="5">
        <v>5</v>
      </c>
      <c r="N176" s="5">
        <v>5</v>
      </c>
      <c r="O176" s="5">
        <v>5</v>
      </c>
      <c r="P176" s="5">
        <v>5</v>
      </c>
      <c r="Q176" s="5">
        <v>5</v>
      </c>
      <c r="R176" s="5">
        <v>5</v>
      </c>
      <c r="S176" s="5">
        <v>5</v>
      </c>
      <c r="T176" s="5">
        <v>5</v>
      </c>
      <c r="U176" s="5">
        <v>5</v>
      </c>
      <c r="V176" s="5">
        <v>5</v>
      </c>
      <c r="W176" s="5">
        <v>5</v>
      </c>
      <c r="X176" s="5">
        <v>5</v>
      </c>
      <c r="Y176" s="5">
        <v>5</v>
      </c>
      <c r="Z176" s="5">
        <v>5</v>
      </c>
      <c r="AA176" s="5">
        <v>5</v>
      </c>
      <c r="AB176" s="5">
        <v>5</v>
      </c>
    </row>
    <row r="177" spans="1:28" ht="16.5" customHeight="1" x14ac:dyDescent="0.25">
      <c r="A177" s="56"/>
      <c r="B177" s="55"/>
      <c r="C177" s="47" t="s">
        <v>118</v>
      </c>
      <c r="D177" s="36"/>
      <c r="E177" s="48" t="s">
        <v>28</v>
      </c>
      <c r="F177" s="36"/>
      <c r="G177" s="5">
        <v>0</v>
      </c>
      <c r="H177" s="5">
        <v>5</v>
      </c>
      <c r="I177" s="5">
        <v>5</v>
      </c>
      <c r="J177" s="5">
        <v>5</v>
      </c>
      <c r="K177" s="5">
        <v>5</v>
      </c>
      <c r="L177" s="5">
        <v>5</v>
      </c>
      <c r="M177" s="5">
        <v>5</v>
      </c>
      <c r="N177" s="5">
        <v>5</v>
      </c>
      <c r="O177" s="5">
        <v>5</v>
      </c>
      <c r="P177" s="5">
        <v>5</v>
      </c>
      <c r="Q177" s="5">
        <v>5</v>
      </c>
      <c r="R177" s="5">
        <v>5</v>
      </c>
      <c r="S177" s="5">
        <v>5</v>
      </c>
      <c r="T177" s="5">
        <v>5</v>
      </c>
      <c r="U177" s="5">
        <v>5</v>
      </c>
      <c r="V177" s="5">
        <v>5</v>
      </c>
      <c r="W177" s="5">
        <v>5</v>
      </c>
      <c r="X177" s="5">
        <v>5</v>
      </c>
      <c r="Y177" s="5">
        <v>5</v>
      </c>
      <c r="Z177" s="5">
        <v>5</v>
      </c>
      <c r="AA177" s="5">
        <v>5</v>
      </c>
      <c r="AB177" s="5">
        <v>5</v>
      </c>
    </row>
    <row r="178" spans="1:28" ht="16.5" customHeight="1" x14ac:dyDescent="0.25">
      <c r="A178" s="56"/>
      <c r="B178" s="44" t="s">
        <v>21</v>
      </c>
      <c r="C178" s="45"/>
      <c r="D178" s="46"/>
      <c r="E178" s="43" t="s">
        <v>14</v>
      </c>
      <c r="F178" s="36"/>
      <c r="G178" s="43">
        <f>SUM(G100:G177)</f>
        <v>264</v>
      </c>
      <c r="H178" s="36"/>
      <c r="I178" s="5">
        <f t="shared" ref="I178:AB178" si="1">SUM(I100:I177)</f>
        <v>307</v>
      </c>
      <c r="J178" s="5">
        <f t="shared" si="1"/>
        <v>256</v>
      </c>
      <c r="K178" s="5">
        <f t="shared" si="1"/>
        <v>226</v>
      </c>
      <c r="L178" s="5">
        <f t="shared" si="1"/>
        <v>202</v>
      </c>
      <c r="M178" s="5">
        <f t="shared" si="1"/>
        <v>184</v>
      </c>
      <c r="N178" s="5">
        <f t="shared" si="1"/>
        <v>176</v>
      </c>
      <c r="O178" s="5">
        <f t="shared" si="1"/>
        <v>170</v>
      </c>
      <c r="P178" s="5">
        <f t="shared" si="1"/>
        <v>152</v>
      </c>
      <c r="Q178" s="5">
        <f t="shared" si="1"/>
        <v>144</v>
      </c>
      <c r="R178" s="5">
        <f t="shared" si="1"/>
        <v>144</v>
      </c>
      <c r="S178" s="5">
        <f t="shared" si="1"/>
        <v>144</v>
      </c>
      <c r="T178" s="5">
        <f t="shared" si="1"/>
        <v>144</v>
      </c>
      <c r="U178" s="5">
        <f t="shared" si="1"/>
        <v>118</v>
      </c>
      <c r="V178" s="5">
        <f t="shared" si="1"/>
        <v>118</v>
      </c>
      <c r="W178" s="5">
        <f t="shared" si="1"/>
        <v>100</v>
      </c>
      <c r="X178" s="5">
        <f t="shared" si="1"/>
        <v>69</v>
      </c>
      <c r="Y178" s="5">
        <f t="shared" si="1"/>
        <v>69</v>
      </c>
      <c r="Z178" s="5">
        <f t="shared" si="1"/>
        <v>61</v>
      </c>
      <c r="AA178" s="5">
        <f t="shared" si="1"/>
        <v>53</v>
      </c>
      <c r="AB178" s="5">
        <f t="shared" si="1"/>
        <v>53</v>
      </c>
    </row>
    <row r="179" spans="1:28" ht="16.5" customHeight="1" x14ac:dyDescent="0.25">
      <c r="A179" s="55"/>
      <c r="B179" s="15"/>
      <c r="C179" s="16"/>
      <c r="D179" s="17"/>
      <c r="E179" s="43" t="s">
        <v>15</v>
      </c>
      <c r="F179" s="36"/>
      <c r="G179" s="43">
        <f>SUM(H100:H177)</f>
        <v>317</v>
      </c>
      <c r="H179" s="36"/>
      <c r="I179" s="5">
        <f t="shared" ref="I179:AB179" si="2">SUM(H17:H94)</f>
        <v>307</v>
      </c>
      <c r="J179" s="5">
        <f t="shared" si="2"/>
        <v>299</v>
      </c>
      <c r="K179" s="5">
        <f t="shared" si="2"/>
        <v>291</v>
      </c>
      <c r="L179" s="5">
        <f t="shared" si="2"/>
        <v>283</v>
      </c>
      <c r="M179" s="5">
        <f t="shared" si="2"/>
        <v>268</v>
      </c>
      <c r="N179" s="5">
        <f t="shared" si="2"/>
        <v>260</v>
      </c>
      <c r="O179" s="5">
        <f t="shared" si="2"/>
        <v>252</v>
      </c>
      <c r="P179" s="5">
        <f t="shared" si="2"/>
        <v>237</v>
      </c>
      <c r="Q179" s="5">
        <f t="shared" si="2"/>
        <v>223</v>
      </c>
      <c r="R179" s="5">
        <f t="shared" si="2"/>
        <v>209</v>
      </c>
      <c r="S179" s="5">
        <f t="shared" si="2"/>
        <v>195</v>
      </c>
      <c r="T179" s="5">
        <f t="shared" si="2"/>
        <v>181</v>
      </c>
      <c r="U179" s="5">
        <f t="shared" si="2"/>
        <v>153</v>
      </c>
      <c r="V179" s="5">
        <f t="shared" si="2"/>
        <v>125</v>
      </c>
      <c r="W179" s="5">
        <f t="shared" si="2"/>
        <v>93</v>
      </c>
      <c r="X179" s="5">
        <f t="shared" si="2"/>
        <v>83</v>
      </c>
      <c r="Y179" s="5">
        <f t="shared" si="2"/>
        <v>52</v>
      </c>
      <c r="Z179" s="5">
        <f t="shared" si="2"/>
        <v>31</v>
      </c>
      <c r="AA179" s="5">
        <f t="shared" si="2"/>
        <v>10</v>
      </c>
      <c r="AB179" s="5">
        <f t="shared" si="2"/>
        <v>0</v>
      </c>
    </row>
  </sheetData>
  <mergeCells count="348">
    <mergeCell ref="A100:A175"/>
    <mergeCell ref="E71:F71"/>
    <mergeCell ref="E142:F142"/>
    <mergeCell ref="C107:D107"/>
    <mergeCell ref="C172:D172"/>
    <mergeCell ref="C79:D79"/>
    <mergeCell ref="C73:D73"/>
    <mergeCell ref="E79:F79"/>
    <mergeCell ref="E73:F73"/>
    <mergeCell ref="C171:D171"/>
    <mergeCell ref="E171:F171"/>
    <mergeCell ref="C121:D121"/>
    <mergeCell ref="E137:F137"/>
    <mergeCell ref="C173:D173"/>
    <mergeCell ref="E173:F173"/>
    <mergeCell ref="C148:D148"/>
    <mergeCell ref="C174:D174"/>
    <mergeCell ref="E174:F174"/>
    <mergeCell ref="E158:F158"/>
    <mergeCell ref="E133:F133"/>
    <mergeCell ref="E162:F162"/>
    <mergeCell ref="E164:F164"/>
    <mergeCell ref="C131:D131"/>
    <mergeCell ref="C150:D150"/>
    <mergeCell ref="B13:C13"/>
    <mergeCell ref="E148:F148"/>
    <mergeCell ref="E166:F166"/>
    <mergeCell ref="B42:B62"/>
    <mergeCell ref="E168:F168"/>
    <mergeCell ref="C28:D28"/>
    <mergeCell ref="E53:F53"/>
    <mergeCell ref="C92:D92"/>
    <mergeCell ref="C30:D30"/>
    <mergeCell ref="E117:F117"/>
    <mergeCell ref="E55:F55"/>
    <mergeCell ref="E67:F67"/>
    <mergeCell ref="E48:F48"/>
    <mergeCell ref="B103:B113"/>
    <mergeCell ref="E161:F161"/>
    <mergeCell ref="C123:D123"/>
    <mergeCell ref="C110:D110"/>
    <mergeCell ref="E110:F110"/>
    <mergeCell ref="E16:F16"/>
    <mergeCell ref="E76:F76"/>
    <mergeCell ref="E18:F18"/>
    <mergeCell ref="C34:D34"/>
    <mergeCell ref="C142:D142"/>
    <mergeCell ref="C129:D129"/>
    <mergeCell ref="B6:E6"/>
    <mergeCell ref="A1:B1"/>
    <mergeCell ref="E92:F92"/>
    <mergeCell ref="C128:D128"/>
    <mergeCell ref="C113:D113"/>
    <mergeCell ref="C29:D29"/>
    <mergeCell ref="E29:F29"/>
    <mergeCell ref="C94:D94"/>
    <mergeCell ref="C65:D65"/>
    <mergeCell ref="E94:F94"/>
    <mergeCell ref="C44:D44"/>
    <mergeCell ref="E69:F69"/>
    <mergeCell ref="C31:D31"/>
    <mergeCell ref="C80:D80"/>
    <mergeCell ref="E31:F31"/>
    <mergeCell ref="E77:F77"/>
    <mergeCell ref="E108:F108"/>
    <mergeCell ref="E95:F95"/>
    <mergeCell ref="E89:F89"/>
    <mergeCell ref="A4:B4"/>
    <mergeCell ref="E72:F72"/>
    <mergeCell ref="C49:D49"/>
    <mergeCell ref="C24:D24"/>
    <mergeCell ref="E24:F24"/>
    <mergeCell ref="E17:F17"/>
    <mergeCell ref="C26:D26"/>
    <mergeCell ref="E88:F88"/>
    <mergeCell ref="C126:D126"/>
    <mergeCell ref="E126:F126"/>
    <mergeCell ref="E82:F82"/>
    <mergeCell ref="E19:F19"/>
    <mergeCell ref="C117:D117"/>
    <mergeCell ref="C55:D55"/>
    <mergeCell ref="B95:D95"/>
    <mergeCell ref="C115:D115"/>
    <mergeCell ref="C52:D52"/>
    <mergeCell ref="C39:D39"/>
    <mergeCell ref="E179:F179"/>
    <mergeCell ref="C81:D81"/>
    <mergeCell ref="C37:D37"/>
    <mergeCell ref="E37:F37"/>
    <mergeCell ref="E159:F159"/>
    <mergeCell ref="E109:F109"/>
    <mergeCell ref="E47:F47"/>
    <mergeCell ref="C145:D145"/>
    <mergeCell ref="E145:F145"/>
    <mergeCell ref="E139:F139"/>
    <mergeCell ref="E111:F111"/>
    <mergeCell ref="C63:D63"/>
    <mergeCell ref="C134:D134"/>
    <mergeCell ref="E63:F63"/>
    <mergeCell ref="C50:D50"/>
    <mergeCell ref="C161:D161"/>
    <mergeCell ref="E112:F112"/>
    <mergeCell ref="C154:D154"/>
    <mergeCell ref="E156:F156"/>
    <mergeCell ref="E153:F153"/>
    <mergeCell ref="C177:D177"/>
    <mergeCell ref="E128:F128"/>
    <mergeCell ref="C93:D93"/>
    <mergeCell ref="C42:D42"/>
    <mergeCell ref="C158:D158"/>
    <mergeCell ref="E22:F22"/>
    <mergeCell ref="E93:F93"/>
    <mergeCell ref="E122:F122"/>
    <mergeCell ref="B146:B155"/>
    <mergeCell ref="B83:B92"/>
    <mergeCell ref="E135:F135"/>
    <mergeCell ref="E132:F132"/>
    <mergeCell ref="E107:F107"/>
    <mergeCell ref="C143:D143"/>
    <mergeCell ref="E143:F143"/>
    <mergeCell ref="C125:D125"/>
    <mergeCell ref="E125:F125"/>
    <mergeCell ref="C144:D144"/>
    <mergeCell ref="E42:F42"/>
    <mergeCell ref="C88:D88"/>
    <mergeCell ref="G178:H178"/>
    <mergeCell ref="C45:D45"/>
    <mergeCell ref="C109:D109"/>
    <mergeCell ref="E38:F38"/>
    <mergeCell ref="C47:D47"/>
    <mergeCell ref="C147:D147"/>
    <mergeCell ref="E147:F147"/>
    <mergeCell ref="C40:D40"/>
    <mergeCell ref="E40:F40"/>
    <mergeCell ref="E104:F104"/>
    <mergeCell ref="C71:D71"/>
    <mergeCell ref="C165:D165"/>
    <mergeCell ref="C66:D66"/>
    <mergeCell ref="E66:F66"/>
    <mergeCell ref="C53:D53"/>
    <mergeCell ref="C77:D77"/>
    <mergeCell ref="C68:D68"/>
    <mergeCell ref="E130:F130"/>
    <mergeCell ref="E68:F68"/>
    <mergeCell ref="C166:D166"/>
    <mergeCell ref="C160:D160"/>
    <mergeCell ref="E160:F160"/>
    <mergeCell ref="C141:D141"/>
    <mergeCell ref="E141:F141"/>
    <mergeCell ref="A3:B3"/>
    <mergeCell ref="C59:D59"/>
    <mergeCell ref="E59:F59"/>
    <mergeCell ref="C46:D46"/>
    <mergeCell ref="C21:D21"/>
    <mergeCell ref="E46:F46"/>
    <mergeCell ref="C61:D61"/>
    <mergeCell ref="E61:F61"/>
    <mergeCell ref="C48:D48"/>
    <mergeCell ref="C23:D23"/>
    <mergeCell ref="E54:F54"/>
    <mergeCell ref="E41:F41"/>
    <mergeCell ref="E56:F56"/>
    <mergeCell ref="E43:F43"/>
    <mergeCell ref="A15:AA15"/>
    <mergeCell ref="C56:D56"/>
    <mergeCell ref="E34:F34"/>
    <mergeCell ref="C43:D43"/>
    <mergeCell ref="E49:F49"/>
    <mergeCell ref="C36:D36"/>
    <mergeCell ref="E36:F36"/>
    <mergeCell ref="C25:D25"/>
    <mergeCell ref="A17:A95"/>
    <mergeCell ref="C27:D27"/>
    <mergeCell ref="A176:A179"/>
    <mergeCell ref="C156:D156"/>
    <mergeCell ref="C74:D74"/>
    <mergeCell ref="C16:D16"/>
    <mergeCell ref="E138:F138"/>
    <mergeCell ref="C103:D103"/>
    <mergeCell ref="B156:B165"/>
    <mergeCell ref="C168:D168"/>
    <mergeCell ref="C118:D118"/>
    <mergeCell ref="C167:D167"/>
    <mergeCell ref="E167:F167"/>
    <mergeCell ref="B20:B30"/>
    <mergeCell ref="C169:D169"/>
    <mergeCell ref="E169:F169"/>
    <mergeCell ref="B18:D18"/>
    <mergeCell ref="C87:D87"/>
    <mergeCell ref="C62:D62"/>
    <mergeCell ref="E62:F62"/>
    <mergeCell ref="C89:D89"/>
    <mergeCell ref="C116:D116"/>
    <mergeCell ref="C64:D64"/>
    <mergeCell ref="E64:F64"/>
    <mergeCell ref="C162:D162"/>
    <mergeCell ref="E51:F51"/>
    <mergeCell ref="C164:D164"/>
    <mergeCell ref="E65:F65"/>
    <mergeCell ref="E157:F157"/>
    <mergeCell ref="E75:F75"/>
    <mergeCell ref="E146:F146"/>
    <mergeCell ref="C111:D111"/>
    <mergeCell ref="C83:D83"/>
    <mergeCell ref="B93:B94"/>
    <mergeCell ref="C105:D105"/>
    <mergeCell ref="E105:F105"/>
    <mergeCell ref="E99:F99"/>
    <mergeCell ref="C120:D120"/>
    <mergeCell ref="B73:B82"/>
    <mergeCell ref="E163:F163"/>
    <mergeCell ref="E101:F101"/>
    <mergeCell ref="E113:F113"/>
    <mergeCell ref="C149:D149"/>
    <mergeCell ref="E100:F100"/>
    <mergeCell ref="C67:D67"/>
    <mergeCell ref="E136:F136"/>
    <mergeCell ref="E115:F115"/>
    <mergeCell ref="E102:F102"/>
    <mergeCell ref="C69:D69"/>
    <mergeCell ref="C163:D163"/>
    <mergeCell ref="C175:D175"/>
    <mergeCell ref="E175:F175"/>
    <mergeCell ref="B17:D17"/>
    <mergeCell ref="B19:D19"/>
    <mergeCell ref="E170:F170"/>
    <mergeCell ref="C137:D137"/>
    <mergeCell ref="C124:D124"/>
    <mergeCell ref="C90:D90"/>
    <mergeCell ref="C139:D139"/>
    <mergeCell ref="E90:F90"/>
    <mergeCell ref="C132:D132"/>
    <mergeCell ref="B114:B124"/>
    <mergeCell ref="E154:F154"/>
    <mergeCell ref="E172:F172"/>
    <mergeCell ref="E25:F25"/>
    <mergeCell ref="E58:F58"/>
    <mergeCell ref="C108:D108"/>
    <mergeCell ref="E83:F83"/>
    <mergeCell ref="B125:B145"/>
    <mergeCell ref="E23:F23"/>
    <mergeCell ref="E87:F87"/>
    <mergeCell ref="C54:D54"/>
    <mergeCell ref="C41:D41"/>
    <mergeCell ref="C146:D146"/>
    <mergeCell ref="B176:B177"/>
    <mergeCell ref="C20:D20"/>
    <mergeCell ref="E20:F20"/>
    <mergeCell ref="C85:D85"/>
    <mergeCell ref="C112:D112"/>
    <mergeCell ref="E177:F177"/>
    <mergeCell ref="C133:D133"/>
    <mergeCell ref="C84:D84"/>
    <mergeCell ref="C22:D22"/>
    <mergeCell ref="C127:D127"/>
    <mergeCell ref="E84:F84"/>
    <mergeCell ref="E78:F78"/>
    <mergeCell ref="C176:D176"/>
    <mergeCell ref="E149:F149"/>
    <mergeCell ref="C114:D114"/>
    <mergeCell ref="E176:F176"/>
    <mergeCell ref="E114:F114"/>
    <mergeCell ref="E86:F86"/>
    <mergeCell ref="C51:D51"/>
    <mergeCell ref="B166:B175"/>
    <mergeCell ref="E80:F80"/>
    <mergeCell ref="E28:F28"/>
    <mergeCell ref="E30:F30"/>
    <mergeCell ref="E21:F21"/>
    <mergeCell ref="E178:F178"/>
    <mergeCell ref="E144:F144"/>
    <mergeCell ref="C38:D38"/>
    <mergeCell ref="E81:F81"/>
    <mergeCell ref="C140:D140"/>
    <mergeCell ref="E106:F106"/>
    <mergeCell ref="C33:D33"/>
    <mergeCell ref="B101:D101"/>
    <mergeCell ref="C104:D104"/>
    <mergeCell ref="E33:F33"/>
    <mergeCell ref="B63:B72"/>
    <mergeCell ref="C35:D35"/>
    <mergeCell ref="E35:F35"/>
    <mergeCell ref="C99:D99"/>
    <mergeCell ref="E74:F74"/>
    <mergeCell ref="C130:D130"/>
    <mergeCell ref="C135:D135"/>
    <mergeCell ref="C159:D159"/>
    <mergeCell ref="C122:D122"/>
    <mergeCell ref="C153:D153"/>
    <mergeCell ref="C72:D72"/>
    <mergeCell ref="C136:D136"/>
    <mergeCell ref="E129:F129"/>
    <mergeCell ref="E131:F131"/>
    <mergeCell ref="E26:F26"/>
    <mergeCell ref="E124:F124"/>
    <mergeCell ref="C91:D91"/>
    <mergeCell ref="E120:F120"/>
    <mergeCell ref="C82:D82"/>
    <mergeCell ref="B102:D102"/>
    <mergeCell ref="C57:D57"/>
    <mergeCell ref="E39:F39"/>
    <mergeCell ref="C32:D32"/>
    <mergeCell ref="E32:F32"/>
    <mergeCell ref="C76:D76"/>
    <mergeCell ref="E27:F27"/>
    <mergeCell ref="C119:D119"/>
    <mergeCell ref="E119:F119"/>
    <mergeCell ref="E116:F116"/>
    <mergeCell ref="E91:F91"/>
    <mergeCell ref="E85:F85"/>
    <mergeCell ref="E121:F121"/>
    <mergeCell ref="C86:D86"/>
    <mergeCell ref="C157:D157"/>
    <mergeCell ref="C151:D151"/>
    <mergeCell ref="E151:F151"/>
    <mergeCell ref="C58:D58"/>
    <mergeCell ref="E52:F52"/>
    <mergeCell ref="E123:F123"/>
    <mergeCell ref="E150:F150"/>
    <mergeCell ref="E127:F127"/>
    <mergeCell ref="C60:D60"/>
    <mergeCell ref="B100:D100"/>
    <mergeCell ref="E155:F155"/>
    <mergeCell ref="C138:D138"/>
    <mergeCell ref="A2:B2"/>
    <mergeCell ref="E45:F45"/>
    <mergeCell ref="B31:B41"/>
    <mergeCell ref="C78:D78"/>
    <mergeCell ref="G179:H179"/>
    <mergeCell ref="B178:D178"/>
    <mergeCell ref="E44:F44"/>
    <mergeCell ref="C152:D152"/>
    <mergeCell ref="E103:F103"/>
    <mergeCell ref="E152:F152"/>
    <mergeCell ref="C75:D75"/>
    <mergeCell ref="E118:F118"/>
    <mergeCell ref="A98:AB98"/>
    <mergeCell ref="C70:D70"/>
    <mergeCell ref="E70:F70"/>
    <mergeCell ref="C106:D106"/>
    <mergeCell ref="E57:F57"/>
    <mergeCell ref="E134:F134"/>
    <mergeCell ref="C170:D170"/>
    <mergeCell ref="E165:F165"/>
    <mergeCell ref="E140:F140"/>
    <mergeCell ref="E60:F60"/>
    <mergeCell ref="C155:D155"/>
    <mergeCell ref="E50:F5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Gia Pho Huỳnh</cp:lastModifiedBy>
  <dcterms:created xsi:type="dcterms:W3CDTF">2021-04-23T08:05:10Z</dcterms:created>
  <dcterms:modified xsi:type="dcterms:W3CDTF">2026-10-16T15:52:51Z</dcterms:modified>
</cp:coreProperties>
</file>